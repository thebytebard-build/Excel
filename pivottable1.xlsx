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2.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D:\Excel\Projects\"/>
    </mc:Choice>
  </mc:AlternateContent>
  <xr:revisionPtr revIDLastSave="0" documentId="8_{1A86FA30-5448-40AC-8B77-9E15B20F5088}" xr6:coauthVersionLast="47" xr6:coauthVersionMax="47" xr10:uidLastSave="{00000000-0000-0000-0000-000000000000}"/>
  <bookViews>
    <workbookView xWindow="-108" yWindow="-108" windowWidth="23256" windowHeight="12456" firstSheet="8" activeTab="15" xr2:uid="{D87EA80B-F92A-4772-8789-58DB20E5E2DE}"/>
  </bookViews>
  <sheets>
    <sheet name="Sheet4" sheetId="4" r:id="rId1"/>
    <sheet name="slicer" sheetId="7" r:id="rId2"/>
    <sheet name="option and setting" sheetId="8" r:id="rId3"/>
    <sheet name="Sheet7" sheetId="9" r:id="rId4"/>
    <sheet name="problem" sheetId="12" r:id="rId5"/>
    <sheet name="Headphones" sheetId="21" r:id="rId6"/>
    <sheet name="Keyboard" sheetId="20" r:id="rId7"/>
    <sheet name="Laptop" sheetId="19" r:id="rId8"/>
    <sheet name="Monitor" sheetId="18" r:id="rId9"/>
    <sheet name="Mouse" sheetId="17" r:id="rId10"/>
    <sheet name="Printer" sheetId="16" r:id="rId11"/>
    <sheet name="Tablet" sheetId="15" r:id="rId12"/>
    <sheet name="Webcam" sheetId="14" r:id="rId13"/>
    <sheet name="Detail1" sheetId="23" r:id="rId14"/>
    <sheet name="Sheet19" sheetId="22" r:id="rId15"/>
    <sheet name="Sheet10" sheetId="13" r:id="rId16"/>
    <sheet name="Sheet2" sheetId="2" r:id="rId17"/>
    <sheet name="Sheet3" sheetId="3" r:id="rId18"/>
  </sheets>
  <definedNames>
    <definedName name="DYNAMICCC">OFFSET(Sheet19!$A$1,0,0,COUNTA(!$A:$A),COUNTA(!$1:$1))</definedName>
    <definedName name="Slicer_Customer_Name">#N/A</definedName>
    <definedName name="Slicer_Product">#N/A</definedName>
  </definedNames>
  <calcPr calcId="191029"/>
  <pivotCaches>
    <pivotCache cacheId="17" r:id="rId19"/>
    <pivotCache cacheId="10" r:id="rId20"/>
    <pivotCache cacheId="41" r:id="rId21"/>
    <pivotCache cacheId="46" r:id="rId22"/>
    <pivotCache cacheId="50" r:id="rId23"/>
    <pivotCache cacheId="60" r:id="rId24"/>
  </pivotCaches>
  <extLs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22" l="1" a="1"/>
  <c r="M6" i="22" s="1"/>
  <c r="J7" i="22" a="1"/>
  <c r="J7" i="22" s="1"/>
  <c r="K20" i="22" a="1"/>
  <c r="K20" i="22" s="1"/>
  <c r="I3" i="22" a="1"/>
  <c r="I3" i="22" s="1"/>
  <c r="L6" i="22"/>
  <c r="K10" i="22" a="1"/>
  <c r="K10" i="22" s="1"/>
  <c r="N21" i="22" a="1"/>
  <c r="N21" i="22" s="1"/>
  <c r="G9" i="22"/>
  <c r="I20" i="22"/>
  <c r="C3" i="12" a="1"/>
  <c r="C3" i="12" s="1"/>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G2" i="2"/>
  <c r="G52" i="2"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K21" i="2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<sst xmlns="http://schemas.openxmlformats.org/spreadsheetml/2006/main" count="556" uniqueCount="131">
  <si>
    <t>Transaction_ID</t>
  </si>
  <si>
    <t>Date</t>
  </si>
  <si>
    <t>Customer_Name</t>
  </si>
  <si>
    <t>Product</t>
  </si>
  <si>
    <t>Units_Sold</t>
  </si>
  <si>
    <t>Price_Per_Unit</t>
  </si>
  <si>
    <t>Total_Sales</t>
  </si>
  <si>
    <t>T038</t>
  </si>
  <si>
    <t>Sneha</t>
  </si>
  <si>
    <t>Tablet</t>
  </si>
  <si>
    <t>T048</t>
  </si>
  <si>
    <t>Karan</t>
  </si>
  <si>
    <t>Monitor</t>
  </si>
  <si>
    <t>T030</t>
  </si>
  <si>
    <t>Amit</t>
  </si>
  <si>
    <t>T036</t>
  </si>
  <si>
    <t>Priya</t>
  </si>
  <si>
    <t>T018</t>
  </si>
  <si>
    <t>Neha</t>
  </si>
  <si>
    <t>T006</t>
  </si>
  <si>
    <t>Headphones</t>
  </si>
  <si>
    <t>T005</t>
  </si>
  <si>
    <t>T044</t>
  </si>
  <si>
    <t>Anita</t>
  </si>
  <si>
    <t>T034</t>
  </si>
  <si>
    <t>Laptop</t>
  </si>
  <si>
    <t>T046</t>
  </si>
  <si>
    <t>T002</t>
  </si>
  <si>
    <t>Keyboard</t>
  </si>
  <si>
    <t>T016</t>
  </si>
  <si>
    <t>T026</t>
  </si>
  <si>
    <t>Rahul</t>
  </si>
  <si>
    <t>Mouse</t>
  </si>
  <si>
    <t>T004</t>
  </si>
  <si>
    <t>T043</t>
  </si>
  <si>
    <t>Printer</t>
  </si>
  <si>
    <t>T022</t>
  </si>
  <si>
    <t>Vikram</t>
  </si>
  <si>
    <t>T001</t>
  </si>
  <si>
    <t>Pooja</t>
  </si>
  <si>
    <t>T037</t>
  </si>
  <si>
    <t>T039</t>
  </si>
  <si>
    <t>T009</t>
  </si>
  <si>
    <t>T032</t>
  </si>
  <si>
    <t>T003</t>
  </si>
  <si>
    <t>T020</t>
  </si>
  <si>
    <t>T033</t>
  </si>
  <si>
    <t>T023</t>
  </si>
  <si>
    <t>T040</t>
  </si>
  <si>
    <t>T047</t>
  </si>
  <si>
    <t>T025</t>
  </si>
  <si>
    <t>T042</t>
  </si>
  <si>
    <t>T049</t>
  </si>
  <si>
    <t>T045</t>
  </si>
  <si>
    <t>T024</t>
  </si>
  <si>
    <t>T031</t>
  </si>
  <si>
    <t>T019</t>
  </si>
  <si>
    <t>T029</t>
  </si>
  <si>
    <t>T021</t>
  </si>
  <si>
    <t>T012</t>
  </si>
  <si>
    <t>T013</t>
  </si>
  <si>
    <t>T010</t>
  </si>
  <si>
    <t>T041</t>
  </si>
  <si>
    <t>T035</t>
  </si>
  <si>
    <t>T028</t>
  </si>
  <si>
    <t>T008</t>
  </si>
  <si>
    <t>T017</t>
  </si>
  <si>
    <t>T014</t>
  </si>
  <si>
    <t>T007</t>
  </si>
  <si>
    <t>T015</t>
  </si>
  <si>
    <t>T050</t>
  </si>
  <si>
    <t>T011</t>
  </si>
  <si>
    <t>T027</t>
  </si>
  <si>
    <t>Webcam</t>
  </si>
  <si>
    <t>Row Labels</t>
  </si>
  <si>
    <t>Grand Total</t>
  </si>
  <si>
    <t>Sum of Units_Sold</t>
  </si>
  <si>
    <t>Sum of Total_Sales</t>
  </si>
  <si>
    <t>Sum of Price_Per_Unit</t>
  </si>
  <si>
    <t>Group1</t>
  </si>
  <si>
    <t>Group2</t>
  </si>
  <si>
    <t>Total</t>
  </si>
  <si>
    <t>Mar</t>
  </si>
  <si>
    <t>Apr</t>
  </si>
  <si>
    <t>Months (Date)</t>
  </si>
  <si>
    <t>Days (Date)</t>
  </si>
  <si>
    <t>Quarters (Date)</t>
  </si>
  <si>
    <t>Qtr1</t>
  </si>
  <si>
    <t>Qtr1 Total</t>
  </si>
  <si>
    <t>Qtr2</t>
  </si>
  <si>
    <t>Qtr2 Total</t>
  </si>
  <si>
    <t>(All)</t>
  </si>
  <si>
    <t>Sum of Total_Sales2</t>
  </si>
  <si>
    <t>Values</t>
  </si>
  <si>
    <t>difference from amit</t>
  </si>
  <si>
    <t>Sum of incentive</t>
  </si>
  <si>
    <t>Calculated Field</t>
  </si>
  <si>
    <t>Solve Order</t>
  </si>
  <si>
    <t>Field</t>
  </si>
  <si>
    <t>Formula</t>
  </si>
  <si>
    <t>incentive</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</si>
  <si>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</si>
  <si>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</si>
  <si>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</si>
  <si>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</si>
  <si>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</si>
  <si>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</si>
  <si>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</si>
  <si>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Zone</t>
  </si>
  <si>
    <t>customer type</t>
  </si>
  <si>
    <t>revenue</t>
  </si>
  <si>
    <t>cash</t>
  </si>
  <si>
    <t>online</t>
  </si>
  <si>
    <t>south</t>
  </si>
  <si>
    <t>east</t>
  </si>
  <si>
    <t>north</t>
  </si>
  <si>
    <t>west</t>
  </si>
  <si>
    <t>Sum of revenue</t>
  </si>
  <si>
    <t>credit</t>
  </si>
  <si>
    <t>ccc</t>
  </si>
  <si>
    <t>CVCV</t>
  </si>
  <si>
    <t>FFGG</t>
  </si>
  <si>
    <t>GFGFFG</t>
  </si>
  <si>
    <t>Count of revenue</t>
  </si>
  <si>
    <t>HHHHH</t>
  </si>
  <si>
    <t>HHH</t>
  </si>
  <si>
    <t>HJHJ</t>
  </si>
  <si>
    <t>HGHHG</t>
  </si>
  <si>
    <t>HGG</t>
  </si>
  <si>
    <t>HGHG</t>
  </si>
  <si>
    <t>Details for Count of revenue - customer type: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</si>
</sst>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yyyy/mm/dd;@"/>
  </numFmts>
  <fonts count="3" x14ac:knownFonts="1">
    <font>
      <sz val="11"/>
      <color theme="1"/>
      <name val="Aptos Narrow"/>
      <family val="2"/>
      <scheme val="minor"/>
    </font>
    <font>
      <b/>
      <sz val="11"/>
      <color theme="1"/>
      <name val="Aptos Narrow"/>
      <family val="2"/>
      <scheme val="minor"/>
    </font>
    <font>
      <b/>
      <i/>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8"/>
      </bottom>
      <diagonal/>
    </border>
  </borders>
  <cellStyleXfs count="1">
    <xf numFmtId="0" fontId="0" fillId="0" borderId="0"/>
  </cellStyleXfs>
  <cellXfs count="17">
    <xf numFmtId="0" fontId="0" fillId="0" borderId="0" xfId="0"/>
    <xf numFmtId="0" fontId="0" fillId="0" borderId="0" xfId="0" applyAlignment="1">
      <alignment horizontal="left" vertical="top"/>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applyAlignment="1">
      <alignment horizontal="left" vertical="top"/>
    </xf>
    <xf numFmtId="0" fontId="1" fillId="0" borderId="0" xfId="0" applyFont="1"/>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wrapText="1"/>
    </xf>
    <xf numFmtId="10" fontId="0" fillId="0" borderId="0" xfId="0" applyNumberFormat="1"/>
    <xf numFmtId="0" fontId="2" fillId="0" borderId="0" xfId="0" applyFont="1"/>
    <xf numFmtId="0" fontId="1" fillId="0" borderId="1" xfId="0" applyFont="1" applyBorder="1"/>
    <xf numFmtId="0" fontId="0" fillId="0" borderId="0" xfId="0" applyAlignment="1">
      <alignment wrapText="1"/>
    </xf>
  </cellXfs>
  <cellStyles count="1">
    <cellStyle name="Normal" xfId="0" builtinId="0"/>
  </cellStyles>
  <dxfs count="2">
    <dxf>
      <alignment horizontal="left" vertical="top" textRotation="0" wrapText="0" indent="0" justifyLastLine="0" shrinkToFit="0" readingOrder="0"/>
    </dxf>
    <dxf>
      <numFmt numFmtId="165" formatCode="[$-14009]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theme" Target="theme/theme1.xml"/><Relationship Id="rId30" Type="http://schemas.openxmlformats.org/officeDocument/2006/relationships/sheetMetadata" Target="metadata.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[pivottable1.xlsx]Sheet4!PivotTable1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Units_Sold</c:v>
                </c:pt>
              </c:strCache>
            </c:strRef>
          </c:tx>
          <c:spPr>
            <a:solidFill>
              <a:schemeClr val="accent1"/>
            </a:solidFill>
            <a:ln>
              <a:noFill/>
            </a:ln>
            <a:effectLst/>
          </c:spPr>
          <c:invertIfNegative val="0"/>
          <c:cat>
            <c:strRef>
              <c:f>Sheet4!$A$4:$A$7</c:f>
              <c:strCache>
                <c:ptCount val="3"/>
                <c:pt idx="0">
                  <c:v>Amit</c:v>
                </c:pt>
                <c:pt idx="1">
                  <c:v>Group1</c:v>
                </c:pt>
                <c:pt idx="2">
                  <c:v>Group2</c:v>
                </c:pt>
              </c:strCache>
            </c:strRef>
          </c:cat>
          <c:val>
            <c:numRef>
              <c:f>Sheet4!$B$4:$B$7</c:f>
              <c:numCache>
                <c:formatCode>General</c:formatCode>
                <c:ptCount val="3"/>
                <c:pt idx="0">
                  <c:v>26</c:v>
                </c:pt>
                <c:pt idx="1">
                  <c:v>44</c:v>
                </c:pt>
                <c:pt idx="2">
                  <c:v>146</c:v>
                </c:pt>
              </c:numCache>
            </c:numRef>
          </c:val>
          <c:extLst>
            <c:ext xmlns:c16="http://schemas.microsoft.com/office/drawing/2014/chart" uri="{C3380CC4-5D6E-409C-BE32-E72D297353CC}">
              <c16:uniqueId val="{00000000-3664-46E7-9605-E4B1DC685DB5}"/>
            </c:ext>
          </c:extLst>
        </c:ser>
        <c:ser>
          <c:idx val="1"/>
          <c:order val="1"/>
          <c:tx>
            <c:strRef>
              <c:f>Sheet4!$C$3</c:f>
              <c:strCache>
                <c:ptCount val="1"/>
                <c:pt idx="0">
                  <c:v>Sum of Price_Per_Unit</c:v>
                </c:pt>
              </c:strCache>
            </c:strRef>
          </c:tx>
          <c:spPr>
            <a:solidFill>
              <a:schemeClr val="accent2"/>
            </a:solidFill>
            <a:ln>
              <a:noFill/>
            </a:ln>
            <a:effectLst/>
          </c:spPr>
          <c:invertIfNegative val="0"/>
          <c:cat>
            <c:strRef>
              <c:f>Sheet4!$A$4:$A$7</c:f>
              <c:strCache>
                <c:ptCount val="3"/>
                <c:pt idx="0">
                  <c:v>Amit</c:v>
                </c:pt>
                <c:pt idx="1">
                  <c:v>Group1</c:v>
                </c:pt>
                <c:pt idx="2">
                  <c:v>Group2</c:v>
                </c:pt>
              </c:strCache>
            </c:strRef>
          </c:cat>
          <c:val>
            <c:numRef>
              <c:f>Sheet4!$C$4:$C$7</c:f>
              <c:numCache>
                <c:formatCode>General</c:formatCode>
                <c:ptCount val="3"/>
                <c:pt idx="0">
                  <c:v>154807</c:v>
                </c:pt>
                <c:pt idx="1">
                  <c:v>295544</c:v>
                </c:pt>
                <c:pt idx="2">
                  <c:v>836596</c:v>
                </c:pt>
              </c:numCache>
            </c:numRef>
          </c:val>
          <c:extLst>
            <c:ext xmlns:c16="http://schemas.microsoft.com/office/drawing/2014/chart" uri="{C3380CC4-5D6E-409C-BE32-E72D297353CC}">
              <c16:uniqueId val="{00000001-3664-46E7-9605-E4B1DC685DB5}"/>
            </c:ext>
          </c:extLst>
        </c:ser>
        <c:ser>
          <c:idx val="2"/>
          <c:order val="2"/>
          <c:tx>
            <c:strRef>
              <c:f>Sheet4!$D$3</c:f>
              <c:strCache>
                <c:ptCount val="1"/>
                <c:pt idx="0">
                  <c:v>Sum of Total_Sales</c:v>
                </c:pt>
              </c:strCache>
            </c:strRef>
          </c:tx>
          <c:spPr>
            <a:solidFill>
              <a:schemeClr val="accent3"/>
            </a:solidFill>
            <a:ln>
              <a:noFill/>
            </a:ln>
            <a:effectLst/>
          </c:spPr>
          <c:invertIfNegative val="0"/>
          <c:cat>
            <c:strRef>
              <c:f>Sheet4!$A$4:$A$7</c:f>
              <c:strCache>
                <c:ptCount val="3"/>
                <c:pt idx="0">
                  <c:v>Amit</c:v>
                </c:pt>
                <c:pt idx="1">
                  <c:v>Group1</c:v>
                </c:pt>
                <c:pt idx="2">
                  <c:v>Group2</c:v>
                </c:pt>
              </c:strCache>
            </c:strRef>
          </c:cat>
          <c:val>
            <c:numRef>
              <c:f>Sheet4!$D$4:$D$7</c:f>
              <c:numCache>
                <c:formatCode>General</c:formatCode>
                <c:ptCount val="3"/>
                <c:pt idx="0">
                  <c:v>624719</c:v>
                </c:pt>
                <c:pt idx="1">
                  <c:v>1100477</c:v>
                </c:pt>
                <c:pt idx="2">
                  <c:v>3721440</c:v>
                </c:pt>
              </c:numCache>
            </c:numRef>
          </c:val>
          <c:extLst>
            <c:ext xmlns:c16="http://schemas.microsoft.com/office/drawing/2014/chart" uri="{C3380CC4-5D6E-409C-BE32-E72D297353CC}">
              <c16:uniqueId val="{00000002-3664-46E7-9605-E4B1DC685DB5}"/>
            </c:ext>
          </c:extLst>
        </c:ser>
        <c:dLbls>
          <c:showLegendKey val="0"/>
          <c:showVal val="0"/>
          <c:showCatName val="0"/>
          <c:showSerName val="0"/>
          <c:showPercent val="0"/>
          <c:showBubbleSize val="0"/>
        </c:dLbls>
        <c:gapWidth val="219"/>
        <c:overlap val="-27"/>
        <c:axId val="413084783"/>
        <c:axId val="413085263"/>
      </c:barChart>
      <c:catAx>
        <c:axId val="41308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085263"/>
        <c:crosses val="autoZero"/>
        <c:auto val="1"/>
        <c:lblAlgn val="ctr"/>
        <c:lblOffset val="100"/>
        <c:noMultiLvlLbl val="0"/>
      </c:catAx>
      <c:valAx>
        <c:axId val="41308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08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15240</xdr:colOff>
      <xdr:row>1</xdr:row>
      <xdr:rowOff>53340</xdr:rowOff>
    </xdr:from>
    <xdr:to>
      <xdr:col>7</xdr:col>
      <xdr:colOff>838200</xdr:colOff>
      <xdr:row>16</xdr:row>
      <xdr:rowOff>53340</xdr:rowOff>
    </xdr:to>
    <xdr:graphicFrame macro="">
      <xdr:nvGraphicFramePr>
        <xdr:cNvPr id="2" name="Chart 1">
          <a:extLst>
            <a:ext uri="{FF2B5EF4-FFF2-40B4-BE49-F238E27FC236}">
              <a16:creationId xmlns:a16="http://schemas.microsoft.com/office/drawing/2014/main" id="{683F6AC2-B7CF-2B60-F796-899462BE1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5</xdr:row>
      <xdr:rowOff>129540</xdr:rowOff>
    </xdr:from>
    <xdr:to>
      <xdr:col>9</xdr:col>
      <xdr:colOff>0</xdr:colOff>
      <xdr:row>19</xdr:row>
      <xdr:rowOff>150495</xdr:rowOff>
    </xdr:to>
    <mc:AlternateContent xmlns:mc="http://schemas.openxmlformats.org/markup-compatibility/2006">
      <mc:Choice xmlns:a14="http://schemas.microsoft.com/office/drawing/2010/main" Requires="a14">
        <xdr:graphicFrame macro="">
          <xdr:nvGraphicFramePr>
            <xdr:cNvPr id="2" name="Customer_Name">
              <a:extLst>
                <a:ext uri="{FF2B5EF4-FFF2-40B4-BE49-F238E27FC236}">
                  <a16:creationId xmlns:a16="http://schemas.microsoft.com/office/drawing/2014/main" id="{B6D18258-02C9-2550-646F-8C4911806CB6}"/>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4389120" y="1043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5</xdr:row>
      <xdr:rowOff>175260</xdr:rowOff>
    </xdr:from>
    <xdr:to>
      <xdr:col>12</xdr:col>
      <xdr:colOff>472440</xdr:colOff>
      <xdr:row>20</xdr:row>
      <xdr:rowOff>13335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F46B9240-AE1A-1AD3-1513-7E8815EDBE1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690360" y="1089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rosha\AppData\Local\Temp\d6b157d6-efe9-4fd5-a20f-b091952ade7b_Excel%20Masterclass%20Chapter%201%20To%2010.zip.e7b\Excel%20Masterclass%20Chapter%201%20To%2010\Chapter-9-Find,%20Replace,%20Paste%20Special%20%20&amp;%20Goto%20Specia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rosha\AppData\Local\Temp\d6b157d6-efe9-4fd5-a20f-b091952ade7b_Excel%20Masterclass%20Chapter%201%20To%2010.zip.e7b\Excel%20Masterclass%20Chapter%201%20To%2010\Chapter-9-Find,%20Replace,%20Paste%20Special%20%20&amp;%20Goto%20Special.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 refreshedDate="46042.445666319443" createdVersion="8" refreshedVersion="8" minRefreshableVersion="3" recordCount="50" xr:uid="{E0FACD88-0108-4D75-AC2B-901CC648F7D9}">
  <cacheSource type="worksheet">
    <worksheetSource ref="A1:G51" sheet="grouping" r:id="rId2"/>
  </cacheSource>
  <cacheFields count="8">
    <cacheField name="Transaction_ID" numFmtId="0">
      <sharedItems/>
    </cacheField>
    <cacheField name="Date" numFmtId="0">
      <sharedItems containsDate="1" containsMixedTypes="1" minDate="2024-01-23T00:00:00" maxDate="2026-09-19T00:00:00" count="47">
        <s v="2024-05-30"/>
        <s v="2024-01-05"/>
        <s v="2024-10-19"/>
        <s v="2024-05-08"/>
        <s v="2024-08-21"/>
        <s v="2024-01-18"/>
        <s v="2024-07-06"/>
        <s v="2024-07-26"/>
        <d v="2024-01-23T00:00:00"/>
        <s v="2024-04-10"/>
        <s v="2024-03-24"/>
        <s v="2024-01-10"/>
        <s v="2024-01-15"/>
        <s v="2024-02-09"/>
        <s v="2024-09-19"/>
        <s v="2024-03-11"/>
        <s v="2024-08-02"/>
        <s v="2024-01-27"/>
        <s v="2024-08-25"/>
        <s v="2024-07-22"/>
        <s v="2024-10-09"/>
        <s v="2024-07-10"/>
        <s v="2024-02-21"/>
        <s v="2024-09-15"/>
        <s v="2024-10-04"/>
        <s v="2024-02-01"/>
        <s v="2024-01-31"/>
        <s v="2024-02-11"/>
        <s v="2024-01-08"/>
        <s v="2024-04-21"/>
        <s v="2024-05-23"/>
        <s v="2024-01-29"/>
        <s v="2024-03-31"/>
        <s v="2024-01-19"/>
        <s v="2024-06-30"/>
        <s v="2024-05-20"/>
        <s v="2024-07-02"/>
        <s v="2024-04-25"/>
        <s v="2024-03-19"/>
        <d v="2026-03-06T00:00:00"/>
        <d v="2026-09-18T00:00:00"/>
        <d v="2026-06-24T00:00:00"/>
        <d v="2026-03-11T00:00:00"/>
        <d v="2025-09-01T00:00:00"/>
        <d v="2025-01-14T00:00:00"/>
        <d v="2025-04-07T00:00:00"/>
        <d v="2025-08-15T00:00:00"/>
      </sharedItems>
    </cacheField>
    <cacheField name="Customer_Name" numFmtId="0">
      <sharedItems count="9">
        <s v="Sneha"/>
        <s v="Karan"/>
        <s v="Amit"/>
        <s v="Priya"/>
        <s v="Neha"/>
        <s v="Anita"/>
        <s v="Rahul"/>
        <s v="Vikram"/>
        <s v="Pooja"/>
      </sharedItems>
      <fieldGroup par="7"/>
    </cacheField>
    <cacheField name="Product" numFmtId="0">
      <sharedItems count="8">
        <s v="Tablet"/>
        <s v="Monitor"/>
        <s v="Webcam"/>
        <s v="Headphones"/>
        <s v="Laptop"/>
        <s v="Keyboard"/>
        <s v="Mouse"/>
        <s v="Printer"/>
      </sharedItems>
    </cacheField>
    <cacheField name="Units_Sold" numFmtId="0">
      <sharedItems containsSemiMixedTypes="0" containsString="0" containsNumber="1" containsInteger="1" minValue="1" maxValue="10"/>
    </cacheField>
    <cacheField name="Price_Per_Unit" numFmtId="0">
      <sharedItems containsSemiMixedTypes="0" containsString="0" containsNumber="1" containsInteger="1" minValue="1764" maxValue="49773"/>
    </cacheField>
    <cacheField name="Total_Sales" numFmtId="0">
      <sharedItems containsSemiMixedTypes="0" containsString="0" containsNumber="1" containsInteger="1" minValue="5292" maxValue="489920"/>
    </cacheField>
    <cacheField name="Customer_Name2" numFmtId="0" databaseField="0">
      <fieldGroup base="2">
        <discretePr count="9">
          <x v="0"/>
          <x v="2"/>
          <x v="1"/>
          <x v="0"/>
          <x v="0"/>
          <x v="2"/>
          <x v="0"/>
          <x v="0"/>
          <x v="0"/>
        </discretePr>
        <groupItems count="3">
          <s v="Group2"/>
          <s v="Amit"/>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 refreshedDate="46042.460266319446" createdVersion="8" refreshedVersion="8" minRefreshableVersion="3" recordCount="14" xr:uid="{4C57AB90-1C64-411A-9D59-D9CF2F35BFE8}">
  <cacheSource type="worksheet">
    <worksheetSource ref="A1:G15" sheet="grouping" r:id="rId2"/>
  </cacheSource>
  <cacheFields count="7">
    <cacheField name="Transaction_ID" numFmtId="0">
      <sharedItems/>
    </cacheField>
    <cacheField name="Date" numFmtId="165">
      <sharedItems containsSemiMixedTypes="0" containsNonDate="0" containsDate="1" containsString="0" minDate="2024-01-05T00:00:00" maxDate="2024-10-20T00:00:00"/>
    </cacheField>
    <cacheField name="Customer_Name" numFmtId="0">
      <sharedItems count="7">
        <s v="Sneha"/>
        <s v="Karan"/>
        <s v="Amit"/>
        <s v="Priya"/>
        <s v="Neha"/>
        <s v="Anita"/>
        <s v="Rahul"/>
      </sharedItems>
    </cacheField>
    <cacheField name="Product" numFmtId="0">
      <sharedItems count="7">
        <s v="Tablet"/>
        <s v="Monitor"/>
        <s v="Webcam"/>
        <s v="Headphones"/>
        <s v="Laptop"/>
        <s v="Keyboard"/>
        <s v="Mouse"/>
      </sharedItems>
    </cacheField>
    <cacheField name="Units_Sold" numFmtId="0">
      <sharedItems containsSemiMixedTypes="0" containsString="0" containsNumber="1" containsInteger="1" minValue="1" maxValue="5"/>
    </cacheField>
    <cacheField name="Price_Per_Unit" numFmtId="0">
      <sharedItems containsSemiMixedTypes="0" containsString="0" containsNumber="1" containsInteger="1" minValue="1764" maxValue="39672"/>
    </cacheField>
    <cacheField name="Total_Sales" numFmtId="0">
      <sharedItems containsSemiMixedTypes="0" containsString="0" containsNumber="1" containsInteger="1" minValue="5292" maxValue="46180"/>
    </cacheField>
  </cacheFields>
  <extLst>
    <ext xmlns:x14="http://schemas.microsoft.com/office/spreadsheetml/2009/9/main" uri="{725AE2AE-9491-48be-B2B4-4EB974FC3084}">
      <x14:pivotCacheDefinition pivotCacheId="20201382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 refreshedDate="46042.477451967592" createdVersion="8" refreshedVersion="8" minRefreshableVersion="3" recordCount="50" xr:uid="{0643BDF5-5DFF-41C1-8781-5975F845C685}">
  <cacheSource type="worksheet">
    <worksheetSource ref="A1:G51" sheet="Sheet2"/>
  </cacheSource>
  <cacheFields count="11">
    <cacheField name="Transaction_ID" numFmtId="0">
      <sharedItems/>
    </cacheField>
    <cacheField name="Date" numFmtId="165">
      <sharedItems containsSemiMixedTypes="0" containsNonDate="0" containsDate="1" containsString="0" minDate="2024-01-05T00:00:00" maxDate="2024-10-20T00:00:00" count="46">
        <d v="2024-05-30T00:00:00"/>
        <d v="2024-01-05T00:00:00"/>
        <d v="2024-10-19T00:00:00"/>
        <d v="2024-05-08T00:00:00"/>
        <d v="2024-08-21T00:00:00"/>
        <d v="2024-01-18T00:00:00"/>
        <d v="2024-07-06T00:00:00"/>
        <d v="2024-07-26T00:00:00"/>
        <d v="2024-01-23T00:00:00"/>
        <d v="2024-04-10T00:00:00"/>
        <d v="2024-03-24T00:00:00"/>
        <d v="2024-01-10T00:00:00"/>
        <d v="2024-01-15T00:00:00"/>
        <d v="2024-02-09T00:00:00"/>
        <d v="2024-09-19T00:00:00"/>
        <d v="2024-03-11T00:00:00"/>
        <d v="2024-08-02T00:00:00"/>
        <d v="2024-01-27T00:00:00"/>
        <d v="2024-08-25T00:00:00"/>
        <d v="2024-07-22T00:00:00"/>
        <d v="2024-10-09T00:00:00"/>
        <d v="2024-07-10T00:00:00"/>
        <d v="2024-02-21T00:00:00"/>
        <d v="2024-09-15T00:00:00"/>
        <d v="2024-10-04T00:00:00"/>
        <d v="2024-02-01T00:00:00"/>
        <d v="2024-01-31T00:00:00"/>
        <d v="2024-02-11T00:00:00"/>
        <d v="2024-01-08T00:00:00"/>
        <d v="2024-04-21T00:00:00"/>
        <d v="2024-05-23T00:00:00"/>
        <d v="2024-01-29T00:00:00"/>
        <d v="2024-03-31T00:00:00"/>
        <d v="2024-01-19T00:00:00"/>
        <d v="2024-06-30T00:00:00"/>
        <d v="2024-05-20T00:00:00"/>
        <d v="2024-07-02T00:00:00"/>
        <d v="2024-04-25T00:00:00"/>
        <d v="2024-03-19T00:00:00"/>
        <d v="2024-03-06T00:00:00"/>
        <d v="2024-09-18T00:00:00"/>
        <d v="2024-06-24T00:00:00"/>
        <d v="2024-09-01T00:00:00"/>
        <d v="2024-01-14T00:00:00"/>
        <d v="2024-04-07T00:00:00"/>
        <d v="2024-08-15T00:00:00"/>
      </sharedItems>
      <fieldGroup par="9"/>
    </cacheField>
    <cacheField name="Customer_Name" numFmtId="0">
      <sharedItems count="9">
        <s v="Sneha"/>
        <s v="Karan"/>
        <s v="Amit"/>
        <s v="Priya"/>
        <s v="Neha"/>
        <s v="Anita"/>
        <s v="Rahul"/>
        <s v="Vikram"/>
        <s v="Pooja"/>
      </sharedItems>
    </cacheField>
    <cacheField name="Product" numFmtId="0">
      <sharedItems count="8">
        <s v="Tablet"/>
        <s v="Monitor"/>
        <s v="Webcam"/>
        <s v="Headphones"/>
        <s v="Laptop"/>
        <s v="Keyboard"/>
        <s v="Mouse"/>
        <s v="Printer"/>
      </sharedItems>
    </cacheField>
    <cacheField name="Units_Sold" numFmtId="0">
      <sharedItems containsSemiMixedTypes="0" containsString="0" containsNumber="1" containsInteger="1" minValue="1" maxValue="10" count="10">
        <n v="3"/>
        <n v="2"/>
        <n v="1"/>
        <n v="5"/>
        <n v="6"/>
        <n v="4"/>
        <n v="10"/>
        <n v="8"/>
        <n v="7"/>
        <n v="9"/>
      </sharedItems>
    </cacheField>
    <cacheField name="Price_Per_Unit" numFmtId="0">
      <sharedItems containsSemiMixedTypes="0" containsString="0" containsNumber="1" containsInteger="1" minValue="1764" maxValue="49773" count="50">
        <n v="1764"/>
        <n v="3963"/>
        <n v="5389"/>
        <n v="4486"/>
        <n v="15787"/>
        <n v="20040"/>
        <n v="22955"/>
        <n v="31617"/>
        <n v="18344"/>
        <n v="38182"/>
        <n v="39672"/>
        <n v="20241"/>
        <n v="8381"/>
        <n v="9236"/>
        <n v="48777"/>
        <n v="49773"/>
        <n v="25187"/>
        <n v="8543"/>
        <n v="10333"/>
        <n v="20756"/>
        <n v="15733"/>
        <n v="21025"/>
        <n v="26115"/>
        <n v="39386"/>
        <n v="39966"/>
        <n v="20393"/>
        <n v="8242"/>
        <n v="41545"/>
        <n v="20869"/>
        <n v="9575"/>
        <n v="34052"/>
        <n v="20679"/>
        <n v="13385"/>
        <n v="28810"/>
        <n v="29120"/>
        <n v="24148"/>
        <n v="20576"/>
        <n v="22895"/>
        <n v="48084"/>
        <n v="33106"/>
        <n v="31522"/>
        <n v="27356"/>
        <n v="40590"/>
        <n v="31140"/>
        <n v="43671"/>
        <n v="32236"/>
        <n v="34169"/>
        <n v="32061"/>
        <n v="44080"/>
        <n v="48992"/>
      </sharedItems>
    </cacheField>
    <cacheField name="Total_Sales" numFmtId="0">
      <sharedItems containsSemiMixedTypes="0" containsString="0" containsNumber="1" containsInteger="1" minValue="5292" maxValue="489920"/>
    </cacheField>
    <cacheField name="Days (Date)" numFmtId="0" databaseField="0">
      <fieldGroup base="1">
        <rangePr groupBy="days" startDate="2024-01-05T00:00:00" endDate="2024-10-20T00:00:00"/>
        <groupItems count="368">
          <s v="&lt;0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10-2024"/>
        </groupItems>
      </fieldGroup>
    </cacheField>
    <cacheField name="Months (Date)" numFmtId="0" databaseField="0">
      <fieldGroup base="1">
        <rangePr groupBy="months" startDate="2024-01-05T00:00:00" endDate="2024-10-20T00:00:00"/>
        <groupItems count="14">
          <s v="&lt;05-01-2024"/>
          <s v="Jan"/>
          <s v="Feb"/>
          <s v="Mar"/>
          <s v="Apr"/>
          <s v="May"/>
          <s v="Jun"/>
          <s v="Jul"/>
          <s v="Aug"/>
          <s v="Sep"/>
          <s v="Oct"/>
          <s v="Nov"/>
          <s v="Dec"/>
          <s v="&gt;20-10-2024"/>
        </groupItems>
      </fieldGroup>
    </cacheField>
    <cacheField name="Quarters (Date)" numFmtId="0" databaseField="0">
      <fieldGroup base="1">
        <rangePr groupBy="quarters" startDate="2024-01-05T00:00:00" endDate="2024-10-20T00:00:00"/>
        <groupItems count="6">
          <s v="&lt;05-01-2024"/>
          <s v="Qtr1"/>
          <s v="Qtr2"/>
          <s v="Qtr3"/>
          <s v="Qtr4"/>
          <s v="&gt;20-10-2024"/>
        </groupItems>
      </fieldGroup>
    </cacheField>
    <cacheField name="incentive" numFmtId="0" formula=" IF(Total_Sales &gt;=50000,Total_Sales *2%,Total_Sales *1%)"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 refreshedDate="46042.546372916666" createdVersion="8" refreshedVersion="8" minRefreshableVersion="3" recordCount="50" xr:uid="{1A887DCD-8A20-48E6-8D62-CD072C3DB1A1}">
  <cacheSource type="worksheet">
    <worksheetSource name="Table4"/>
  </cacheSource>
  <cacheFields count="7">
    <cacheField name="Transaction_ID" numFmtId="0">
      <sharedItems/>
    </cacheField>
    <cacheField name="Date" numFmtId="165">
      <sharedItems containsSemiMixedTypes="0" containsNonDate="0" containsDate="1" containsString="0" minDate="2024-01-05T00:00:00" maxDate="2024-10-20T00:00:00"/>
    </cacheField>
    <cacheField name="Customer_Name" numFmtId="0">
      <sharedItems count="9">
        <s v="Sneha"/>
        <s v="Karan"/>
        <s v="Amit"/>
        <s v="Priya"/>
        <s v="Neha"/>
        <s v="Anita"/>
        <s v="Rahul"/>
        <s v="Vikram"/>
        <s v="Pooja"/>
      </sharedItems>
    </cacheField>
    <cacheField name="Product" numFmtId="0">
      <sharedItems count="8">
        <s v="Tablet"/>
        <s v="Monitor"/>
        <s v="Webcam"/>
        <s v="Headphones"/>
        <s v="Laptop"/>
        <s v="Keyboard"/>
        <s v="Mouse"/>
        <s v="Printer"/>
      </sharedItems>
    </cacheField>
    <cacheField name="Units_Sold" numFmtId="0">
      <sharedItems containsSemiMixedTypes="0" containsString="0" containsNumber="1" containsInteger="1" minValue="1" maxValue="10"/>
    </cacheField>
    <cacheField name="Price_Per_Unit" numFmtId="0">
      <sharedItems containsSemiMixedTypes="0" containsString="0" containsNumber="1" containsInteger="1" minValue="1764" maxValue="49773"/>
    </cacheField>
    <cacheField name="Total_Sales" numFmtId="0">
      <sharedItems containsSemiMixedTypes="0" containsString="0" containsNumber="1" containsInteger="1" minValue="5292" maxValue="48992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 refreshedDate="46042.559207407408" createdVersion="8" refreshedVersion="8" minRefreshableVersion="3" recordCount="10" xr:uid="{62E85A88-E3DB-4F68-8915-230902F30FD1}">
  <cacheSource type="worksheet">
    <worksheetSource ref="A1:C11" sheet="Sheet19"/>
  </cacheSource>
  <cacheFields count="3">
    <cacheField name="Zone" numFmtId="0">
      <sharedItems/>
    </cacheField>
    <cacheField name="customer type" numFmtId="0">
      <sharedItems count="2">
        <s v="cash"/>
        <s v="online"/>
      </sharedItems>
    </cacheField>
    <cacheField name="revenue" numFmtId="0">
      <sharedItems containsSemiMixedTypes="0" containsString="0" containsNumber="1" containsInteger="1" minValue="2750" maxValue="330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 refreshedDate="46042.925121412038" createdVersion="8" refreshedVersion="8" minRefreshableVersion="3" recordCount="15" xr:uid="{589CEA00-06BD-4469-97FD-05BF4E5EDE30}">
  <cacheSource type="worksheet">
    <worksheetSource name="Table6"/>
  </cacheSource>
  <cacheFields count="3">
    <cacheField name="Zone" numFmtId="0">
      <sharedItems/>
    </cacheField>
    <cacheField name="customer type" numFmtId="0">
      <sharedItems count="7">
        <s v="cash"/>
        <s v="online"/>
        <s v="credit"/>
        <s v="ccc"/>
        <s v="FFGG"/>
        <s v="HHH"/>
        <s v="HGG"/>
      </sharedItems>
    </cacheField>
    <cacheField name="revenue" numFmtId="0">
      <sharedItems containsMixedTypes="1" containsNumber="1" containsInteger="1" minValue="0" maxValue="65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T038"/>
    <x v="0"/>
    <x v="0"/>
    <x v="0"/>
    <n v="3"/>
    <n v="1764"/>
    <n v="5292"/>
  </r>
  <r>
    <s v="T048"/>
    <x v="1"/>
    <x v="1"/>
    <x v="1"/>
    <n v="2"/>
    <n v="3963"/>
    <n v="7926"/>
  </r>
  <r>
    <s v="T030"/>
    <x v="2"/>
    <x v="2"/>
    <x v="2"/>
    <n v="2"/>
    <n v="5389"/>
    <n v="10778"/>
  </r>
  <r>
    <s v="T036"/>
    <x v="3"/>
    <x v="3"/>
    <x v="0"/>
    <n v="3"/>
    <n v="4486"/>
    <n v="13458"/>
  </r>
  <r>
    <s v="T018"/>
    <x v="4"/>
    <x v="4"/>
    <x v="0"/>
    <n v="1"/>
    <n v="15787"/>
    <n v="15787"/>
  </r>
  <r>
    <s v="T006"/>
    <x v="5"/>
    <x v="1"/>
    <x v="3"/>
    <n v="1"/>
    <n v="20040"/>
    <n v="20040"/>
  </r>
  <r>
    <s v="T005"/>
    <x v="6"/>
    <x v="2"/>
    <x v="2"/>
    <n v="1"/>
    <n v="22955"/>
    <n v="22955"/>
  </r>
  <r>
    <s v="T044"/>
    <x v="7"/>
    <x v="5"/>
    <x v="1"/>
    <n v="1"/>
    <n v="31617"/>
    <n v="31617"/>
  </r>
  <r>
    <s v="T034"/>
    <x v="8"/>
    <x v="0"/>
    <x v="4"/>
    <n v="2"/>
    <n v="18344"/>
    <n v="36688"/>
  </r>
  <r>
    <s v="T046"/>
    <x v="9"/>
    <x v="4"/>
    <x v="3"/>
    <n v="1"/>
    <n v="38182"/>
    <n v="38182"/>
  </r>
  <r>
    <s v="T002"/>
    <x v="10"/>
    <x v="1"/>
    <x v="5"/>
    <n v="1"/>
    <n v="39672"/>
    <n v="39672"/>
  </r>
  <r>
    <s v="T016"/>
    <x v="11"/>
    <x v="3"/>
    <x v="0"/>
    <n v="2"/>
    <n v="20241"/>
    <n v="40482"/>
  </r>
  <r>
    <s v="T026"/>
    <x v="12"/>
    <x v="6"/>
    <x v="6"/>
    <n v="5"/>
    <n v="8381"/>
    <n v="41905"/>
  </r>
  <r>
    <s v="T004"/>
    <x v="13"/>
    <x v="6"/>
    <x v="6"/>
    <n v="5"/>
    <n v="9236"/>
    <n v="46180"/>
  </r>
  <r>
    <s v="T043"/>
    <x v="14"/>
    <x v="1"/>
    <x v="7"/>
    <n v="1"/>
    <n v="48777"/>
    <n v="48777"/>
  </r>
  <r>
    <s v="T022"/>
    <x v="15"/>
    <x v="7"/>
    <x v="0"/>
    <n v="1"/>
    <n v="49773"/>
    <n v="49773"/>
  </r>
  <r>
    <s v="T001"/>
    <x v="16"/>
    <x v="8"/>
    <x v="1"/>
    <n v="2"/>
    <n v="25187"/>
    <n v="50374"/>
  </r>
  <r>
    <s v="T037"/>
    <x v="17"/>
    <x v="0"/>
    <x v="0"/>
    <n v="6"/>
    <n v="8543"/>
    <n v="51258"/>
  </r>
  <r>
    <s v="T039"/>
    <x v="18"/>
    <x v="6"/>
    <x v="2"/>
    <n v="6"/>
    <n v="10333"/>
    <n v="61998"/>
  </r>
  <r>
    <s v="T009"/>
    <x v="19"/>
    <x v="2"/>
    <x v="6"/>
    <n v="3"/>
    <n v="20756"/>
    <n v="62268"/>
  </r>
  <r>
    <s v="T032"/>
    <x v="20"/>
    <x v="1"/>
    <x v="5"/>
    <n v="4"/>
    <n v="15733"/>
    <n v="62932"/>
  </r>
  <r>
    <s v="T003"/>
    <x v="21"/>
    <x v="0"/>
    <x v="6"/>
    <n v="3"/>
    <n v="21025"/>
    <n v="63075"/>
  </r>
  <r>
    <s v="T020"/>
    <x v="22"/>
    <x v="6"/>
    <x v="2"/>
    <n v="3"/>
    <n v="26115"/>
    <n v="78345"/>
  </r>
  <r>
    <s v="T033"/>
    <x v="23"/>
    <x v="8"/>
    <x v="1"/>
    <n v="2"/>
    <n v="39386"/>
    <n v="78772"/>
  </r>
  <r>
    <s v="T023"/>
    <x v="24"/>
    <x v="4"/>
    <x v="4"/>
    <n v="2"/>
    <n v="39966"/>
    <n v="79932"/>
  </r>
  <r>
    <s v="T040"/>
    <x v="25"/>
    <x v="2"/>
    <x v="1"/>
    <n v="4"/>
    <n v="20393"/>
    <n v="81572"/>
  </r>
  <r>
    <s v="T047"/>
    <x v="26"/>
    <x v="0"/>
    <x v="1"/>
    <n v="10"/>
    <n v="8242"/>
    <n v="82420"/>
  </r>
  <r>
    <s v="T025"/>
    <x v="27"/>
    <x v="4"/>
    <x v="2"/>
    <n v="2"/>
    <n v="41545"/>
    <n v="83090"/>
  </r>
  <r>
    <s v="T042"/>
    <x v="9"/>
    <x v="7"/>
    <x v="1"/>
    <n v="4"/>
    <n v="20869"/>
    <n v="83476"/>
  </r>
  <r>
    <s v="T049"/>
    <x v="19"/>
    <x v="5"/>
    <x v="0"/>
    <n v="10"/>
    <n v="9575"/>
    <n v="95750"/>
  </r>
  <r>
    <s v="T045"/>
    <x v="28"/>
    <x v="5"/>
    <x v="2"/>
    <n v="3"/>
    <n v="34052"/>
    <n v="102156"/>
  </r>
  <r>
    <s v="T024"/>
    <x v="29"/>
    <x v="5"/>
    <x v="2"/>
    <n v="5"/>
    <n v="20679"/>
    <n v="103395"/>
  </r>
  <r>
    <s v="T031"/>
    <x v="30"/>
    <x v="6"/>
    <x v="4"/>
    <n v="8"/>
    <n v="13385"/>
    <n v="107080"/>
  </r>
  <r>
    <s v="T019"/>
    <x v="31"/>
    <x v="3"/>
    <x v="7"/>
    <n v="4"/>
    <n v="28810"/>
    <n v="115240"/>
  </r>
  <r>
    <s v="T029"/>
    <x v="32"/>
    <x v="8"/>
    <x v="1"/>
    <n v="4"/>
    <n v="29120"/>
    <n v="116480"/>
  </r>
  <r>
    <s v="T021"/>
    <x v="33"/>
    <x v="2"/>
    <x v="0"/>
    <n v="5"/>
    <n v="24148"/>
    <n v="120740"/>
  </r>
  <r>
    <s v="T012"/>
    <x v="34"/>
    <x v="2"/>
    <x v="3"/>
    <n v="6"/>
    <n v="20576"/>
    <n v="123456"/>
  </r>
  <r>
    <s v="T013"/>
    <x v="35"/>
    <x v="3"/>
    <x v="2"/>
    <n v="6"/>
    <n v="22895"/>
    <n v="137370"/>
  </r>
  <r>
    <s v="T010"/>
    <x v="20"/>
    <x v="3"/>
    <x v="2"/>
    <n v="3"/>
    <n v="48084"/>
    <n v="144252"/>
  </r>
  <r>
    <s v="T041"/>
    <x v="36"/>
    <x v="0"/>
    <x v="6"/>
    <n v="5"/>
    <n v="33106"/>
    <n v="165530"/>
  </r>
  <r>
    <s v="T035"/>
    <x v="37"/>
    <x v="0"/>
    <x v="6"/>
    <n v="6"/>
    <n v="31522"/>
    <n v="189132"/>
  </r>
  <r>
    <s v="T028"/>
    <x v="38"/>
    <x v="5"/>
    <x v="1"/>
    <n v="7"/>
    <n v="27356"/>
    <n v="191492"/>
  </r>
  <r>
    <s v="T008"/>
    <x v="39"/>
    <x v="2"/>
    <x v="3"/>
    <n v="5"/>
    <n v="40590"/>
    <n v="202950"/>
  </r>
  <r>
    <s v="T017"/>
    <x v="40"/>
    <x v="4"/>
    <x v="5"/>
    <n v="7"/>
    <n v="31140"/>
    <n v="217980"/>
  </r>
  <r>
    <s v="T014"/>
    <x v="41"/>
    <x v="3"/>
    <x v="4"/>
    <n v="5"/>
    <n v="43671"/>
    <n v="218355"/>
  </r>
  <r>
    <s v="T007"/>
    <x v="42"/>
    <x v="0"/>
    <x v="3"/>
    <n v="7"/>
    <n v="32236"/>
    <n v="225652"/>
  </r>
  <r>
    <s v="T015"/>
    <x v="43"/>
    <x v="6"/>
    <x v="5"/>
    <n v="8"/>
    <n v="34169"/>
    <n v="273352"/>
  </r>
  <r>
    <s v="T050"/>
    <x v="44"/>
    <x v="4"/>
    <x v="5"/>
    <n v="10"/>
    <n v="32061"/>
    <n v="320610"/>
  </r>
  <r>
    <s v="T011"/>
    <x v="45"/>
    <x v="5"/>
    <x v="0"/>
    <n v="9"/>
    <n v="44080"/>
    <n v="396720"/>
  </r>
  <r>
    <s v="T027"/>
    <x v="46"/>
    <x v="0"/>
    <x v="2"/>
    <n v="10"/>
    <n v="48992"/>
    <n v="4899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T038"/>
    <d v="2024-05-30T00:00:00"/>
    <x v="0"/>
    <x v="0"/>
    <n v="3"/>
    <n v="1764"/>
    <n v="5292"/>
  </r>
  <r>
    <s v="T048"/>
    <d v="2024-01-05T00:00:00"/>
    <x v="1"/>
    <x v="1"/>
    <n v="2"/>
    <n v="3963"/>
    <n v="7926"/>
  </r>
  <r>
    <s v="T030"/>
    <d v="2024-10-19T00:00:00"/>
    <x v="2"/>
    <x v="2"/>
    <n v="2"/>
    <n v="5389"/>
    <n v="10778"/>
  </r>
  <r>
    <s v="T036"/>
    <d v="2024-05-08T00:00:00"/>
    <x v="3"/>
    <x v="0"/>
    <n v="3"/>
    <n v="4486"/>
    <n v="13458"/>
  </r>
  <r>
    <s v="T018"/>
    <d v="2024-08-21T00:00:00"/>
    <x v="4"/>
    <x v="0"/>
    <n v="1"/>
    <n v="15787"/>
    <n v="15787"/>
  </r>
  <r>
    <s v="T006"/>
    <d v="2024-01-18T00:00:00"/>
    <x v="1"/>
    <x v="3"/>
    <n v="1"/>
    <n v="20040"/>
    <n v="20040"/>
  </r>
  <r>
    <s v="T005"/>
    <d v="2024-07-06T00:00:00"/>
    <x v="2"/>
    <x v="2"/>
    <n v="1"/>
    <n v="22955"/>
    <n v="22955"/>
  </r>
  <r>
    <s v="T044"/>
    <d v="2024-07-26T00:00:00"/>
    <x v="5"/>
    <x v="1"/>
    <n v="1"/>
    <n v="31617"/>
    <n v="31617"/>
  </r>
  <r>
    <s v="T034"/>
    <d v="2024-01-23T00:00:00"/>
    <x v="0"/>
    <x v="4"/>
    <n v="2"/>
    <n v="18344"/>
    <n v="36688"/>
  </r>
  <r>
    <s v="T046"/>
    <d v="2024-04-10T00:00:00"/>
    <x v="4"/>
    <x v="3"/>
    <n v="1"/>
    <n v="38182"/>
    <n v="38182"/>
  </r>
  <r>
    <s v="T002"/>
    <d v="2024-03-24T00:00:00"/>
    <x v="1"/>
    <x v="5"/>
    <n v="1"/>
    <n v="39672"/>
    <n v="39672"/>
  </r>
  <r>
    <s v="T016"/>
    <d v="2024-01-10T00:00:00"/>
    <x v="3"/>
    <x v="0"/>
    <n v="2"/>
    <n v="20241"/>
    <n v="40482"/>
  </r>
  <r>
    <s v="T026"/>
    <d v="2024-01-15T00:00:00"/>
    <x v="6"/>
    <x v="6"/>
    <n v="5"/>
    <n v="8381"/>
    <n v="41905"/>
  </r>
  <r>
    <s v="T004"/>
    <d v="2024-02-09T00:00:00"/>
    <x v="6"/>
    <x v="6"/>
    <n v="5"/>
    <n v="9236"/>
    <n v="4618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T038"/>
    <x v="0"/>
    <x v="0"/>
    <x v="0"/>
    <x v="0"/>
    <x v="0"/>
    <n v="5292"/>
  </r>
  <r>
    <s v="T048"/>
    <x v="1"/>
    <x v="1"/>
    <x v="1"/>
    <x v="1"/>
    <x v="1"/>
    <n v="7926"/>
  </r>
  <r>
    <s v="T030"/>
    <x v="2"/>
    <x v="2"/>
    <x v="2"/>
    <x v="1"/>
    <x v="2"/>
    <n v="10778"/>
  </r>
  <r>
    <s v="T036"/>
    <x v="3"/>
    <x v="3"/>
    <x v="0"/>
    <x v="0"/>
    <x v="3"/>
    <n v="13458"/>
  </r>
  <r>
    <s v="T018"/>
    <x v="4"/>
    <x v="4"/>
    <x v="0"/>
    <x v="2"/>
    <x v="4"/>
    <n v="15787"/>
  </r>
  <r>
    <s v="T006"/>
    <x v="5"/>
    <x v="1"/>
    <x v="3"/>
    <x v="2"/>
    <x v="5"/>
    <n v="20040"/>
  </r>
  <r>
    <s v="T005"/>
    <x v="6"/>
    <x v="2"/>
    <x v="2"/>
    <x v="2"/>
    <x v="6"/>
    <n v="22955"/>
  </r>
  <r>
    <s v="T044"/>
    <x v="7"/>
    <x v="5"/>
    <x v="1"/>
    <x v="2"/>
    <x v="7"/>
    <n v="31617"/>
  </r>
  <r>
    <s v="T034"/>
    <x v="8"/>
    <x v="0"/>
    <x v="4"/>
    <x v="1"/>
    <x v="8"/>
    <n v="36688"/>
  </r>
  <r>
    <s v="T046"/>
    <x v="9"/>
    <x v="4"/>
    <x v="3"/>
    <x v="2"/>
    <x v="9"/>
    <n v="38182"/>
  </r>
  <r>
    <s v="T002"/>
    <x v="10"/>
    <x v="1"/>
    <x v="5"/>
    <x v="2"/>
    <x v="10"/>
    <n v="39672"/>
  </r>
  <r>
    <s v="T016"/>
    <x v="11"/>
    <x v="3"/>
    <x v="0"/>
    <x v="1"/>
    <x v="11"/>
    <n v="40482"/>
  </r>
  <r>
    <s v="T026"/>
    <x v="12"/>
    <x v="6"/>
    <x v="6"/>
    <x v="3"/>
    <x v="12"/>
    <n v="41905"/>
  </r>
  <r>
    <s v="T004"/>
    <x v="13"/>
    <x v="6"/>
    <x v="6"/>
    <x v="3"/>
    <x v="13"/>
    <n v="46180"/>
  </r>
  <r>
    <s v="T043"/>
    <x v="14"/>
    <x v="1"/>
    <x v="7"/>
    <x v="2"/>
    <x v="14"/>
    <n v="48777"/>
  </r>
  <r>
    <s v="T022"/>
    <x v="15"/>
    <x v="7"/>
    <x v="0"/>
    <x v="2"/>
    <x v="15"/>
    <n v="49773"/>
  </r>
  <r>
    <s v="T001"/>
    <x v="16"/>
    <x v="8"/>
    <x v="1"/>
    <x v="1"/>
    <x v="16"/>
    <n v="50374"/>
  </r>
  <r>
    <s v="T037"/>
    <x v="17"/>
    <x v="0"/>
    <x v="0"/>
    <x v="4"/>
    <x v="17"/>
    <n v="51258"/>
  </r>
  <r>
    <s v="T039"/>
    <x v="18"/>
    <x v="6"/>
    <x v="2"/>
    <x v="4"/>
    <x v="18"/>
    <n v="61998"/>
  </r>
  <r>
    <s v="T009"/>
    <x v="19"/>
    <x v="2"/>
    <x v="6"/>
    <x v="0"/>
    <x v="19"/>
    <n v="62268"/>
  </r>
  <r>
    <s v="T032"/>
    <x v="20"/>
    <x v="1"/>
    <x v="5"/>
    <x v="5"/>
    <x v="20"/>
    <n v="62932"/>
  </r>
  <r>
    <s v="T003"/>
    <x v="21"/>
    <x v="0"/>
    <x v="6"/>
    <x v="0"/>
    <x v="21"/>
    <n v="63075"/>
  </r>
  <r>
    <s v="T020"/>
    <x v="22"/>
    <x v="6"/>
    <x v="2"/>
    <x v="0"/>
    <x v="22"/>
    <n v="78345"/>
  </r>
  <r>
    <s v="T033"/>
    <x v="23"/>
    <x v="8"/>
    <x v="1"/>
    <x v="1"/>
    <x v="23"/>
    <n v="78772"/>
  </r>
  <r>
    <s v="T023"/>
    <x v="24"/>
    <x v="4"/>
    <x v="4"/>
    <x v="1"/>
    <x v="24"/>
    <n v="79932"/>
  </r>
  <r>
    <s v="T040"/>
    <x v="25"/>
    <x v="2"/>
    <x v="1"/>
    <x v="5"/>
    <x v="25"/>
    <n v="81572"/>
  </r>
  <r>
    <s v="T047"/>
    <x v="26"/>
    <x v="0"/>
    <x v="1"/>
    <x v="6"/>
    <x v="26"/>
    <n v="82420"/>
  </r>
  <r>
    <s v="T025"/>
    <x v="27"/>
    <x v="4"/>
    <x v="2"/>
    <x v="1"/>
    <x v="27"/>
    <n v="83090"/>
  </r>
  <r>
    <s v="T042"/>
    <x v="9"/>
    <x v="7"/>
    <x v="1"/>
    <x v="5"/>
    <x v="28"/>
    <n v="83476"/>
  </r>
  <r>
    <s v="T049"/>
    <x v="19"/>
    <x v="5"/>
    <x v="0"/>
    <x v="6"/>
    <x v="29"/>
    <n v="95750"/>
  </r>
  <r>
    <s v="T045"/>
    <x v="28"/>
    <x v="5"/>
    <x v="2"/>
    <x v="0"/>
    <x v="30"/>
    <n v="102156"/>
  </r>
  <r>
    <s v="T024"/>
    <x v="29"/>
    <x v="5"/>
    <x v="2"/>
    <x v="3"/>
    <x v="31"/>
    <n v="103395"/>
  </r>
  <r>
    <s v="T031"/>
    <x v="30"/>
    <x v="6"/>
    <x v="4"/>
    <x v="7"/>
    <x v="32"/>
    <n v="107080"/>
  </r>
  <r>
    <s v="T019"/>
    <x v="31"/>
    <x v="3"/>
    <x v="7"/>
    <x v="5"/>
    <x v="33"/>
    <n v="115240"/>
  </r>
  <r>
    <s v="T029"/>
    <x v="32"/>
    <x v="8"/>
    <x v="1"/>
    <x v="5"/>
    <x v="34"/>
    <n v="116480"/>
  </r>
  <r>
    <s v="T021"/>
    <x v="33"/>
    <x v="2"/>
    <x v="0"/>
    <x v="3"/>
    <x v="35"/>
    <n v="120740"/>
  </r>
  <r>
    <s v="T012"/>
    <x v="34"/>
    <x v="2"/>
    <x v="3"/>
    <x v="4"/>
    <x v="36"/>
    <n v="123456"/>
  </r>
  <r>
    <s v="T013"/>
    <x v="35"/>
    <x v="3"/>
    <x v="2"/>
    <x v="4"/>
    <x v="37"/>
    <n v="137370"/>
  </r>
  <r>
    <s v="T010"/>
    <x v="20"/>
    <x v="3"/>
    <x v="2"/>
    <x v="0"/>
    <x v="38"/>
    <n v="144252"/>
  </r>
  <r>
    <s v="T041"/>
    <x v="36"/>
    <x v="0"/>
    <x v="6"/>
    <x v="3"/>
    <x v="39"/>
    <n v="165530"/>
  </r>
  <r>
    <s v="T035"/>
    <x v="37"/>
    <x v="0"/>
    <x v="6"/>
    <x v="4"/>
    <x v="40"/>
    <n v="189132"/>
  </r>
  <r>
    <s v="T028"/>
    <x v="38"/>
    <x v="5"/>
    <x v="1"/>
    <x v="8"/>
    <x v="41"/>
    <n v="191492"/>
  </r>
  <r>
    <s v="T008"/>
    <x v="39"/>
    <x v="2"/>
    <x v="3"/>
    <x v="3"/>
    <x v="42"/>
    <n v="202950"/>
  </r>
  <r>
    <s v="T017"/>
    <x v="40"/>
    <x v="4"/>
    <x v="5"/>
    <x v="8"/>
    <x v="43"/>
    <n v="217980"/>
  </r>
  <r>
    <s v="T014"/>
    <x v="41"/>
    <x v="3"/>
    <x v="4"/>
    <x v="3"/>
    <x v="44"/>
    <n v="218355"/>
  </r>
  <r>
    <s v="T007"/>
    <x v="15"/>
    <x v="0"/>
    <x v="3"/>
    <x v="8"/>
    <x v="45"/>
    <n v="225652"/>
  </r>
  <r>
    <s v="T015"/>
    <x v="42"/>
    <x v="6"/>
    <x v="5"/>
    <x v="7"/>
    <x v="46"/>
    <n v="273352"/>
  </r>
  <r>
    <s v="T050"/>
    <x v="43"/>
    <x v="4"/>
    <x v="5"/>
    <x v="6"/>
    <x v="47"/>
    <n v="320610"/>
  </r>
  <r>
    <s v="T011"/>
    <x v="44"/>
    <x v="5"/>
    <x v="0"/>
    <x v="9"/>
    <x v="48"/>
    <n v="396720"/>
  </r>
  <r>
    <s v="T027"/>
    <x v="45"/>
    <x v="0"/>
    <x v="2"/>
    <x v="6"/>
    <x v="49"/>
    <n v="48992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T038"/>
    <d v="2024-05-30T00:00:00"/>
    <x v="0"/>
    <x v="0"/>
    <n v="3"/>
    <n v="1764"/>
    <n v="5292"/>
  </r>
  <r>
    <s v="T048"/>
    <d v="2024-01-05T00:00:00"/>
    <x v="1"/>
    <x v="1"/>
    <n v="2"/>
    <n v="3963"/>
    <n v="7926"/>
  </r>
  <r>
    <s v="T030"/>
    <d v="2024-10-19T00:00:00"/>
    <x v="2"/>
    <x v="2"/>
    <n v="2"/>
    <n v="5389"/>
    <n v="10778"/>
  </r>
  <r>
    <s v="T036"/>
    <d v="2024-05-08T00:00:00"/>
    <x v="3"/>
    <x v="0"/>
    <n v="3"/>
    <n v="4486"/>
    <n v="13458"/>
  </r>
  <r>
    <s v="T018"/>
    <d v="2024-08-21T00:00:00"/>
    <x v="4"/>
    <x v="0"/>
    <n v="1"/>
    <n v="15787"/>
    <n v="15787"/>
  </r>
  <r>
    <s v="T006"/>
    <d v="2024-01-18T00:00:00"/>
    <x v="1"/>
    <x v="3"/>
    <n v="1"/>
    <n v="20040"/>
    <n v="20040"/>
  </r>
  <r>
    <s v="T005"/>
    <d v="2024-07-06T00:00:00"/>
    <x v="2"/>
    <x v="2"/>
    <n v="1"/>
    <n v="22955"/>
    <n v="22955"/>
  </r>
  <r>
    <s v="T044"/>
    <d v="2024-07-26T00:00:00"/>
    <x v="5"/>
    <x v="1"/>
    <n v="1"/>
    <n v="31617"/>
    <n v="31617"/>
  </r>
  <r>
    <s v="T034"/>
    <d v="2024-01-23T00:00:00"/>
    <x v="0"/>
    <x v="4"/>
    <n v="2"/>
    <n v="18344"/>
    <n v="36688"/>
  </r>
  <r>
    <s v="T046"/>
    <d v="2024-04-10T00:00:00"/>
    <x v="4"/>
    <x v="3"/>
    <n v="1"/>
    <n v="38182"/>
    <n v="38182"/>
  </r>
  <r>
    <s v="T002"/>
    <d v="2024-03-24T00:00:00"/>
    <x v="1"/>
    <x v="5"/>
    <n v="1"/>
    <n v="39672"/>
    <n v="39672"/>
  </r>
  <r>
    <s v="T016"/>
    <d v="2024-01-10T00:00:00"/>
    <x v="3"/>
    <x v="0"/>
    <n v="2"/>
    <n v="20241"/>
    <n v="40482"/>
  </r>
  <r>
    <s v="T026"/>
    <d v="2024-01-15T00:00:00"/>
    <x v="6"/>
    <x v="6"/>
    <n v="5"/>
    <n v="8381"/>
    <n v="41905"/>
  </r>
  <r>
    <s v="T004"/>
    <d v="2024-02-09T00:00:00"/>
    <x v="6"/>
    <x v="6"/>
    <n v="5"/>
    <n v="9236"/>
    <n v="46180"/>
  </r>
  <r>
    <s v="T043"/>
    <d v="2024-09-19T00:00:00"/>
    <x v="1"/>
    <x v="7"/>
    <n v="1"/>
    <n v="48777"/>
    <n v="48777"/>
  </r>
  <r>
    <s v="T022"/>
    <d v="2024-03-11T00:00:00"/>
    <x v="7"/>
    <x v="0"/>
    <n v="1"/>
    <n v="49773"/>
    <n v="49773"/>
  </r>
  <r>
    <s v="T001"/>
    <d v="2024-08-02T00:00:00"/>
    <x v="8"/>
    <x v="1"/>
    <n v="2"/>
    <n v="25187"/>
    <n v="50374"/>
  </r>
  <r>
    <s v="T037"/>
    <d v="2024-01-27T00:00:00"/>
    <x v="0"/>
    <x v="0"/>
    <n v="6"/>
    <n v="8543"/>
    <n v="51258"/>
  </r>
  <r>
    <s v="T039"/>
    <d v="2024-08-25T00:00:00"/>
    <x v="6"/>
    <x v="2"/>
    <n v="6"/>
    <n v="10333"/>
    <n v="61998"/>
  </r>
  <r>
    <s v="T009"/>
    <d v="2024-07-22T00:00:00"/>
    <x v="2"/>
    <x v="6"/>
    <n v="3"/>
    <n v="20756"/>
    <n v="62268"/>
  </r>
  <r>
    <s v="T032"/>
    <d v="2024-10-09T00:00:00"/>
    <x v="1"/>
    <x v="5"/>
    <n v="4"/>
    <n v="15733"/>
    <n v="62932"/>
  </r>
  <r>
    <s v="T003"/>
    <d v="2024-07-10T00:00:00"/>
    <x v="0"/>
    <x v="6"/>
    <n v="3"/>
    <n v="21025"/>
    <n v="63075"/>
  </r>
  <r>
    <s v="T020"/>
    <d v="2024-02-21T00:00:00"/>
    <x v="6"/>
    <x v="2"/>
    <n v="3"/>
    <n v="26115"/>
    <n v="78345"/>
  </r>
  <r>
    <s v="T033"/>
    <d v="2024-09-15T00:00:00"/>
    <x v="8"/>
    <x v="1"/>
    <n v="2"/>
    <n v="39386"/>
    <n v="78772"/>
  </r>
  <r>
    <s v="T023"/>
    <d v="2024-10-04T00:00:00"/>
    <x v="4"/>
    <x v="4"/>
    <n v="2"/>
    <n v="39966"/>
    <n v="79932"/>
  </r>
  <r>
    <s v="T040"/>
    <d v="2024-02-01T00:00:00"/>
    <x v="2"/>
    <x v="1"/>
    <n v="4"/>
    <n v="20393"/>
    <n v="81572"/>
  </r>
  <r>
    <s v="T047"/>
    <d v="2024-01-31T00:00:00"/>
    <x v="0"/>
    <x v="1"/>
    <n v="10"/>
    <n v="8242"/>
    <n v="82420"/>
  </r>
  <r>
    <s v="T025"/>
    <d v="2024-02-11T00:00:00"/>
    <x v="4"/>
    <x v="2"/>
    <n v="2"/>
    <n v="41545"/>
    <n v="83090"/>
  </r>
  <r>
    <s v="T042"/>
    <d v="2024-04-10T00:00:00"/>
    <x v="7"/>
    <x v="1"/>
    <n v="4"/>
    <n v="20869"/>
    <n v="83476"/>
  </r>
  <r>
    <s v="T049"/>
    <d v="2024-07-22T00:00:00"/>
    <x v="5"/>
    <x v="0"/>
    <n v="10"/>
    <n v="9575"/>
    <n v="95750"/>
  </r>
  <r>
    <s v="T045"/>
    <d v="2024-01-08T00:00:00"/>
    <x v="5"/>
    <x v="2"/>
    <n v="3"/>
    <n v="34052"/>
    <n v="102156"/>
  </r>
  <r>
    <s v="T024"/>
    <d v="2024-04-21T00:00:00"/>
    <x v="5"/>
    <x v="2"/>
    <n v="5"/>
    <n v="20679"/>
    <n v="103395"/>
  </r>
  <r>
    <s v="T031"/>
    <d v="2024-05-23T00:00:00"/>
    <x v="6"/>
    <x v="4"/>
    <n v="8"/>
    <n v="13385"/>
    <n v="107080"/>
  </r>
  <r>
    <s v="T019"/>
    <d v="2024-01-29T00:00:00"/>
    <x v="3"/>
    <x v="7"/>
    <n v="4"/>
    <n v="28810"/>
    <n v="115240"/>
  </r>
  <r>
    <s v="T029"/>
    <d v="2024-03-31T00:00:00"/>
    <x v="8"/>
    <x v="1"/>
    <n v="4"/>
    <n v="29120"/>
    <n v="116480"/>
  </r>
  <r>
    <s v="T021"/>
    <d v="2024-01-19T00:00:00"/>
    <x v="2"/>
    <x v="0"/>
    <n v="5"/>
    <n v="24148"/>
    <n v="120740"/>
  </r>
  <r>
    <s v="T012"/>
    <d v="2024-06-30T00:00:00"/>
    <x v="2"/>
    <x v="3"/>
    <n v="6"/>
    <n v="20576"/>
    <n v="123456"/>
  </r>
  <r>
    <s v="T013"/>
    <d v="2024-05-20T00:00:00"/>
    <x v="3"/>
    <x v="2"/>
    <n v="6"/>
    <n v="22895"/>
    <n v="137370"/>
  </r>
  <r>
    <s v="T010"/>
    <d v="2024-10-09T00:00:00"/>
    <x v="3"/>
    <x v="2"/>
    <n v="3"/>
    <n v="48084"/>
    <n v="144252"/>
  </r>
  <r>
    <s v="T041"/>
    <d v="2024-07-02T00:00:00"/>
    <x v="0"/>
    <x v="6"/>
    <n v="5"/>
    <n v="33106"/>
    <n v="165530"/>
  </r>
  <r>
    <s v="T035"/>
    <d v="2024-04-25T00:00:00"/>
    <x v="0"/>
    <x v="6"/>
    <n v="6"/>
    <n v="31522"/>
    <n v="189132"/>
  </r>
  <r>
    <s v="T028"/>
    <d v="2024-03-19T00:00:00"/>
    <x v="5"/>
    <x v="1"/>
    <n v="7"/>
    <n v="27356"/>
    <n v="191492"/>
  </r>
  <r>
    <s v="T008"/>
    <d v="2024-03-06T00:00:00"/>
    <x v="2"/>
    <x v="3"/>
    <n v="5"/>
    <n v="40590"/>
    <n v="202950"/>
  </r>
  <r>
    <s v="T017"/>
    <d v="2024-09-18T00:00:00"/>
    <x v="4"/>
    <x v="5"/>
    <n v="7"/>
    <n v="31140"/>
    <n v="217980"/>
  </r>
  <r>
    <s v="T014"/>
    <d v="2024-06-24T00:00:00"/>
    <x v="3"/>
    <x v="4"/>
    <n v="5"/>
    <n v="43671"/>
    <n v="218355"/>
  </r>
  <r>
    <s v="T007"/>
    <d v="2024-03-11T00:00:00"/>
    <x v="0"/>
    <x v="3"/>
    <n v="7"/>
    <n v="32236"/>
    <n v="225652"/>
  </r>
  <r>
    <s v="T015"/>
    <d v="2024-09-01T00:00:00"/>
    <x v="6"/>
    <x v="5"/>
    <n v="8"/>
    <n v="34169"/>
    <n v="273352"/>
  </r>
  <r>
    <s v="T050"/>
    <d v="2024-01-14T00:00:00"/>
    <x v="4"/>
    <x v="5"/>
    <n v="10"/>
    <n v="32061"/>
    <n v="320610"/>
  </r>
  <r>
    <s v="T011"/>
    <d v="2024-04-07T00:00:00"/>
    <x v="5"/>
    <x v="0"/>
    <n v="9"/>
    <n v="44080"/>
    <n v="396720"/>
  </r>
  <r>
    <s v="T027"/>
    <d v="2024-08-15T00:00:00"/>
    <x v="0"/>
    <x v="2"/>
    <n v="10"/>
    <n v="48992"/>
    <n v="48992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outh"/>
    <x v="0"/>
    <n v="2838"/>
  </r>
  <r>
    <s v="east"/>
    <x v="1"/>
    <n v="3035"/>
  </r>
  <r>
    <s v="south"/>
    <x v="1"/>
    <n v="3048"/>
  </r>
  <r>
    <s v="east"/>
    <x v="0"/>
    <n v="2750"/>
  </r>
  <r>
    <s v="north"/>
    <x v="1"/>
    <n v="3305"/>
  </r>
  <r>
    <s v="west"/>
    <x v="0"/>
    <n v="3116"/>
  </r>
  <r>
    <s v="south"/>
    <x v="1"/>
    <n v="3048"/>
  </r>
  <r>
    <s v="east"/>
    <x v="0"/>
    <n v="2750"/>
  </r>
  <r>
    <s v="north"/>
    <x v="1"/>
    <n v="3305"/>
  </r>
  <r>
    <s v="west"/>
    <x v="0"/>
    <n v="311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south"/>
    <x v="0"/>
    <n v="2838"/>
  </r>
  <r>
    <s v="east"/>
    <x v="1"/>
    <n v="3035"/>
  </r>
  <r>
    <s v="south"/>
    <x v="1"/>
    <n v="3048"/>
  </r>
  <r>
    <s v="east"/>
    <x v="0"/>
    <n v="2750"/>
  </r>
  <r>
    <s v="north"/>
    <x v="1"/>
    <n v="3305"/>
  </r>
  <r>
    <s v="west"/>
    <x v="0"/>
    <n v="3116"/>
  </r>
  <r>
    <s v="south"/>
    <x v="1"/>
    <n v="3048"/>
  </r>
  <r>
    <s v="east"/>
    <x v="0"/>
    <n v="2750"/>
  </r>
  <r>
    <s v="north"/>
    <x v="1"/>
    <n v="3305"/>
  </r>
  <r>
    <s v="west"/>
    <x v="0"/>
    <n v="3116"/>
  </r>
  <r>
    <s v="east"/>
    <x v="2"/>
    <n v="6565"/>
  </r>
  <r>
    <s v="west"/>
    <x v="3"/>
    <n v="0"/>
  </r>
  <r>
    <s v="CVCV"/>
    <x v="4"/>
    <s v="GFGFFG"/>
  </r>
  <r>
    <s v="HHHHH"/>
    <x v="5"/>
    <s v="HJHJ"/>
  </r>
  <r>
    <s v="HGHHG"/>
    <x v="6"/>
    <s v="HGH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81F9DE-B865-45CA-862F-B995A2A0B740}"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7" firstHeaderRow="0" firstDataRow="1" firstDataCol="1"/>
  <pivotFields count="8">
    <pivotField showAll="0"/>
    <pivotField showAll="0">
      <items count="48">
        <item x="1"/>
        <item x="28"/>
        <item x="11"/>
        <item x="12"/>
        <item x="5"/>
        <item x="33"/>
        <item x="17"/>
        <item x="31"/>
        <item x="26"/>
        <item x="25"/>
        <item x="13"/>
        <item x="27"/>
        <item x="22"/>
        <item x="15"/>
        <item x="38"/>
        <item x="10"/>
        <item x="32"/>
        <item x="9"/>
        <item x="29"/>
        <item x="37"/>
        <item x="3"/>
        <item x="35"/>
        <item x="30"/>
        <item x="0"/>
        <item x="34"/>
        <item x="36"/>
        <item x="6"/>
        <item x="21"/>
        <item x="19"/>
        <item x="7"/>
        <item x="16"/>
        <item x="4"/>
        <item x="18"/>
        <item x="23"/>
        <item x="14"/>
        <item x="24"/>
        <item x="20"/>
        <item x="2"/>
        <item x="8"/>
        <item x="44"/>
        <item x="45"/>
        <item x="46"/>
        <item x="43"/>
        <item x="39"/>
        <item x="42"/>
        <item x="41"/>
        <item x="40"/>
        <item t="default"/>
      </items>
    </pivotField>
    <pivotField axis="axisRow" showAll="0">
      <items count="10">
        <item x="2"/>
        <item x="5"/>
        <item x="1"/>
        <item x="4"/>
        <item x="8"/>
        <item x="3"/>
        <item x="6"/>
        <item x="0"/>
        <item x="7"/>
        <item t="default"/>
      </items>
    </pivotField>
    <pivotField showAll="0">
      <items count="9">
        <item x="3"/>
        <item x="5"/>
        <item x="4"/>
        <item x="1"/>
        <item x="6"/>
        <item x="7"/>
        <item x="0"/>
        <item x="2"/>
        <item t="default"/>
      </items>
    </pivotField>
    <pivotField dataField="1" showAll="0"/>
    <pivotField dataField="1" showAll="0"/>
    <pivotField dataField="1" showAll="0"/>
    <pivotField axis="axisRow" showAll="0">
      <items count="4">
        <item sd="0" x="1"/>
        <item sd="0" x="2"/>
        <item sd="0" x="0"/>
        <item t="default"/>
      </items>
    </pivotField>
  </pivotFields>
  <rowFields count="2">
    <field x="7"/>
    <field x="2"/>
  </rowFields>
  <rowItems count="4">
    <i>
      <x/>
    </i>
    <i>
      <x v="1"/>
    </i>
    <i>
      <x v="2"/>
    </i>
    <i t="grand">
      <x/>
    </i>
  </rowItems>
  <colFields count="1">
    <field x="-2"/>
  </colFields>
  <colItems count="3">
    <i>
      <x/>
    </i>
    <i i="1">
      <x v="1"/>
    </i>
    <i i="2">
      <x v="2"/>
    </i>
  </colItems>
  <dataFields count="3">
    <dataField name="Sum of Units_Sold" fld="4" baseField="0" baseItem="0"/>
    <dataField name="Sum of Price_Per_Unit" fld="5" baseField="0" baseItem="0"/>
    <dataField name="Sum of Total_Sales" fld="6"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23B438-181E-4BFA-8EEF-AD1EE1498D84}"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8" firstHeaderRow="1" firstDataRow="1" firstDataCol="1"/>
  <pivotFields count="7">
    <pivotField showAll="0"/>
    <pivotField numFmtId="165" showAll="0"/>
    <pivotField showAll="0">
      <items count="8">
        <item h="1" x="2"/>
        <item h="1" x="5"/>
        <item h="1" x="1"/>
        <item h="1" x="4"/>
        <item x="3"/>
        <item h="1" x="6"/>
        <item h="1" x="0"/>
        <item t="default"/>
      </items>
    </pivotField>
    <pivotField axis="axisRow" showAll="0">
      <items count="8">
        <item x="3"/>
        <item x="5"/>
        <item x="4"/>
        <item x="1"/>
        <item x="6"/>
        <item x="0"/>
        <item x="2"/>
        <item t="default"/>
      </items>
    </pivotField>
    <pivotField dataField="1" showAll="0"/>
    <pivotField showAll="0"/>
    <pivotField showAll="0"/>
  </pivotFields>
  <rowFields count="1">
    <field x="3"/>
  </rowFields>
  <rowItems count="2">
    <i>
      <x v="5"/>
    </i>
    <i t="grand">
      <x/>
    </i>
  </rowItems>
  <colItems count="1">
    <i/>
  </colItems>
  <dataFields count="1">
    <dataField name="Sum of Units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A7C7EC-DFB0-49FB-823B-4EAE55AA49F5}"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7">
    <pivotField showAll="0"/>
    <pivotField numFmtId="165" showAll="0"/>
    <pivotField showAll="0">
      <items count="8">
        <item x="2"/>
        <item h="1" x="5"/>
        <item h="1" x="1"/>
        <item h="1" x="4"/>
        <item h="1" x="3"/>
        <item h="1" x="6"/>
        <item h="1" x="0"/>
        <item t="default"/>
      </items>
    </pivotField>
    <pivotField axis="axisRow" showAll="0">
      <items count="8">
        <item x="3"/>
        <item x="5"/>
        <item x="4"/>
        <item x="1"/>
        <item x="6"/>
        <item x="0"/>
        <item x="2"/>
        <item t="default"/>
      </items>
    </pivotField>
    <pivotField dataField="1" showAll="0"/>
    <pivotField showAll="0"/>
    <pivotField showAll="0"/>
  </pivotFields>
  <rowFields count="1">
    <field x="3"/>
  </rowFields>
  <rowItems count="8">
    <i>
      <x/>
    </i>
    <i>
      <x v="1"/>
    </i>
    <i>
      <x v="2"/>
    </i>
    <i>
      <x v="3"/>
    </i>
    <i>
      <x v="4"/>
    </i>
    <i>
      <x v="5"/>
    </i>
    <i>
      <x v="6"/>
    </i>
    <i t="grand">
      <x/>
    </i>
  </rowItems>
  <colItems count="1">
    <i/>
  </colItems>
  <dataFields count="1">
    <dataField name="Sum of Units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8C36A3-3C28-4781-8BCC-A0425BD293D1}" name="PivotTable6" cacheId="41" applyNumberFormats="0" applyBorderFormats="0" applyFontFormats="0" applyPatternFormats="0" applyAlignmentFormats="0" applyWidthHeightFormats="1" dataCaption="Values" updatedVersion="8" minRefreshableVersion="3" pageWrap="2" rowGrandTotals="0" colGrandTotals="0" itemPrintTitles="1" mergeItem="1" createdVersion="8" indent="0" compact="0" compactData="0" gridDropZones="1" multipleFieldFilters="0">
  <location ref="A6:D11" firstHeaderRow="2" firstDataRow="2" firstDataCol="3" rowPageCount="2" colPageCount="2"/>
  <pivotFields count="11">
    <pivotField compact="0" outline="0" showAll="0"/>
    <pivotField compact="0" numFmtId="165" outline="0" showAll="0">
      <items count="47">
        <item x="1"/>
        <item x="28"/>
        <item x="11"/>
        <item x="43"/>
        <item x="12"/>
        <item x="5"/>
        <item x="33"/>
        <item x="8"/>
        <item x="17"/>
        <item x="31"/>
        <item x="26"/>
        <item x="25"/>
        <item x="13"/>
        <item x="27"/>
        <item x="22"/>
        <item x="39"/>
        <item x="15"/>
        <item x="38"/>
        <item x="10"/>
        <item x="32"/>
        <item x="44"/>
        <item x="9"/>
        <item x="29"/>
        <item x="37"/>
        <item x="3"/>
        <item x="35"/>
        <item x="30"/>
        <item x="0"/>
        <item x="41"/>
        <item x="34"/>
        <item x="36"/>
        <item x="6"/>
        <item x="21"/>
        <item x="19"/>
        <item x="7"/>
        <item x="16"/>
        <item x="45"/>
        <item x="4"/>
        <item x="18"/>
        <item x="42"/>
        <item x="23"/>
        <item x="40"/>
        <item x="14"/>
        <item x="24"/>
        <item x="20"/>
        <item x="2"/>
        <item t="default"/>
      </items>
    </pivotField>
    <pivotField axis="axisPage" compact="0" outline="0" showAll="0">
      <items count="10">
        <item x="2"/>
        <item x="5"/>
        <item x="1"/>
        <item x="4"/>
        <item x="8"/>
        <item x="3"/>
        <item x="6"/>
        <item x="0"/>
        <item x="7"/>
        <item t="default"/>
      </items>
    </pivotField>
    <pivotField axis="axisPage" compact="0" outline="0" showAll="0">
      <items count="9">
        <item x="3"/>
        <item x="5"/>
        <item x="4"/>
        <item x="1"/>
        <item x="6"/>
        <item x="7"/>
        <item x="0"/>
        <item x="2"/>
        <item t="default"/>
      </items>
    </pivotField>
    <pivotField axis="axisPage" compact="0" outline="0" showAll="0">
      <items count="11">
        <item x="2"/>
        <item x="1"/>
        <item x="0"/>
        <item x="5"/>
        <item x="3"/>
        <item x="4"/>
        <item x="8"/>
        <item x="7"/>
        <item x="9"/>
        <item x="6"/>
        <item t="default"/>
      </items>
    </pivotField>
    <pivotField axis="axisPage" compact="0" outline="0" showAll="0">
      <items count="51">
        <item x="0"/>
        <item x="1"/>
        <item x="3"/>
        <item x="2"/>
        <item x="26"/>
        <item x="12"/>
        <item x="17"/>
        <item x="13"/>
        <item x="29"/>
        <item x="18"/>
        <item x="32"/>
        <item x="20"/>
        <item x="4"/>
        <item x="8"/>
        <item x="5"/>
        <item x="11"/>
        <item x="25"/>
        <item x="36"/>
        <item x="31"/>
        <item x="19"/>
        <item x="28"/>
        <item x="21"/>
        <item x="37"/>
        <item x="6"/>
        <item x="35"/>
        <item x="16"/>
        <item x="22"/>
        <item x="41"/>
        <item x="33"/>
        <item x="34"/>
        <item x="43"/>
        <item x="40"/>
        <item x="7"/>
        <item x="47"/>
        <item x="45"/>
        <item x="39"/>
        <item x="30"/>
        <item x="46"/>
        <item x="9"/>
        <item x="23"/>
        <item x="10"/>
        <item x="24"/>
        <item x="42"/>
        <item x="27"/>
        <item x="44"/>
        <item x="48"/>
        <item x="38"/>
        <item x="14"/>
        <item x="49"/>
        <item x="15"/>
        <item t="default"/>
      </items>
    </pivotField>
    <pivotField dataField="1" compact="0" outline="0" showAll="0"/>
    <pivotField axis="axisRow"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15">
        <item x="0"/>
        <item sd="0" x="1"/>
        <item sd="0" x="2"/>
        <item sd="0" x="3"/>
        <item sd="0" x="4"/>
        <item sd="0" x="5"/>
        <item sd="0" x="6"/>
        <item x="7"/>
        <item x="8"/>
        <item x="9"/>
        <item x="10"/>
        <item x="11"/>
        <item x="12"/>
        <item x="13"/>
        <item t="default"/>
      </items>
    </pivotField>
    <pivotField axis="axisRow" compact="0" outline="0" showAll="0">
      <items count="7">
        <item x="0"/>
        <item x="1"/>
        <item x="2"/>
        <item sd="0" x="3"/>
        <item sd="0" x="4"/>
        <item x="5"/>
        <item t="default"/>
      </items>
    </pivotField>
    <pivotField compact="0" outline="0" dragToRow="0" dragToCol="0" dragToPage="0" showAll="0" defaultSubtotal="0"/>
  </pivotFields>
  <rowFields count="3">
    <field x="9"/>
    <field x="8"/>
    <field x="7"/>
  </rowFields>
  <rowItems count="4">
    <i>
      <x v="1"/>
      <x v="3"/>
    </i>
    <i t="default">
      <x v="1"/>
    </i>
    <i>
      <x v="2"/>
      <x v="4"/>
    </i>
    <i t="default">
      <x v="2"/>
    </i>
  </rowItems>
  <colItems count="1">
    <i/>
  </colItems>
  <pageFields count="4">
    <pageField fld="2" item="8" hier="-1"/>
    <pageField fld="3" hier="-1"/>
    <pageField fld="4" hier="-1"/>
    <pageField fld="5" hier="-1"/>
  </pageFields>
  <dataFields count="1">
    <dataField name="Sum of Total_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60F97A-CFE1-4AB9-9768-A91BEAAA84E8}" name="PivotTable7" cacheId="4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gridDropZones="1" multipleFieldFilters="0">
  <location ref="A3:D14" firstHeaderRow="1" firstDataRow="2" firstDataCol="1"/>
  <pivotFields count="11">
    <pivotField compact="0" showAll="0"/>
    <pivotField compact="0" numFmtId="165" showAll="0">
      <items count="47">
        <item x="1"/>
        <item x="28"/>
        <item x="11"/>
        <item x="43"/>
        <item x="12"/>
        <item x="5"/>
        <item x="33"/>
        <item x="8"/>
        <item x="17"/>
        <item x="31"/>
        <item x="26"/>
        <item x="25"/>
        <item x="13"/>
        <item x="27"/>
        <item x="22"/>
        <item x="39"/>
        <item x="15"/>
        <item x="38"/>
        <item x="10"/>
        <item x="32"/>
        <item x="44"/>
        <item x="9"/>
        <item x="29"/>
        <item x="37"/>
        <item x="3"/>
        <item x="35"/>
        <item x="30"/>
        <item x="0"/>
        <item x="41"/>
        <item x="34"/>
        <item x="36"/>
        <item x="6"/>
        <item x="21"/>
        <item x="19"/>
        <item x="7"/>
        <item x="16"/>
        <item x="45"/>
        <item x="4"/>
        <item x="18"/>
        <item x="42"/>
        <item x="23"/>
        <item x="40"/>
        <item x="14"/>
        <item x="24"/>
        <item x="20"/>
        <item x="2"/>
        <item t="default"/>
      </items>
    </pivotField>
    <pivotField axis="axisRow" compact="0" showAll="0">
      <items count="10">
        <item x="2"/>
        <item x="5"/>
        <item x="1"/>
        <item x="4"/>
        <item x="8"/>
        <item x="3"/>
        <item x="6"/>
        <item x="0"/>
        <item x="7"/>
        <item t="default"/>
      </items>
    </pivotField>
    <pivotField compact="0" showAll="0">
      <items count="9">
        <item sd="0" x="3"/>
        <item sd="0" x="5"/>
        <item sd="0" x="4"/>
        <item sd="0" x="1"/>
        <item x="6"/>
        <item sd="0" x="7"/>
        <item sd="0" x="0"/>
        <item sd="0" x="2"/>
        <item t="default"/>
      </items>
    </pivotField>
    <pivotField compact="0" showAll="0"/>
    <pivotField compact="0" showAll="0"/>
    <pivotField dataField="1" compact="0" showAll="0"/>
    <pivotField compact="0" showAll="0" defaultSubtotal="0"/>
    <pivotField compact="0" showAll="0" defaultSubtotal="0"/>
    <pivotField compact="0" showAll="0" defaultSubtotal="0">
      <items count="6">
        <item x="0"/>
        <item x="1"/>
        <item x="2"/>
        <item x="3"/>
        <item x="4"/>
        <item x="5"/>
      </items>
    </pivotField>
    <pivotField compact="0" dragToRow="0" dragToCol="0" dragToPage="0" showAll="0" defaultSubtotal="0"/>
  </pivotFields>
  <rowFields count="1">
    <field x="2"/>
  </rowFields>
  <rowItems count="10">
    <i>
      <x/>
    </i>
    <i>
      <x v="1"/>
    </i>
    <i>
      <x v="2"/>
    </i>
    <i>
      <x v="3"/>
    </i>
    <i>
      <x v="4"/>
    </i>
    <i>
      <x v="5"/>
    </i>
    <i>
      <x v="6"/>
    </i>
    <i>
      <x v="7"/>
    </i>
    <i>
      <x v="8"/>
    </i>
    <i t="grand">
      <x/>
    </i>
  </rowItems>
  <colFields count="1">
    <field x="-2"/>
  </colFields>
  <colItems count="3">
    <i>
      <x/>
    </i>
    <i i="1">
      <x v="1"/>
    </i>
    <i i="2">
      <x v="2"/>
    </i>
  </colItems>
  <dataFields count="3">
    <dataField name="Sum of Total_Sales" fld="6" baseField="3" baseItem="0"/>
    <dataField name="difference from amit" fld="6" showDataAs="percentDiff" baseField="2" baseItem="0" numFmtId="10"/>
    <dataField name="Sum of Total_Sales2" fld="6" baseField="2" baseItem="0">
      <extLst>
        <ext xmlns:x14="http://schemas.microsoft.com/office/spreadsheetml/2009/9/main" uri="{E15A36E0-9728-4e99-A89B-3F7291B0FE68}">
          <x14:dataField pivotShowAs="rankDescending"/>
        </ext>
      </extLst>
    </dataField>
  </dataField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72F6C9-CF50-46B8-9A19-8D0EEF424251}" name="PivotTable18"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7">
    <pivotField showAll="0"/>
    <pivotField numFmtId="165" showAll="0"/>
    <pivotField axis="axisRow" showAll="0" measureFilter="1">
      <items count="10">
        <item x="2"/>
        <item x="5"/>
        <item x="1"/>
        <item x="4"/>
        <item x="8"/>
        <item x="3"/>
        <item x="6"/>
        <item x="0"/>
        <item x="7"/>
        <item t="default"/>
      </items>
    </pivotField>
    <pivotField axis="axisPage" showAll="0">
      <items count="9">
        <item x="3"/>
        <item x="5"/>
        <item x="4"/>
        <item x="1"/>
        <item x="6"/>
        <item x="7"/>
        <item x="0"/>
        <item x="2"/>
        <item t="default"/>
      </items>
    </pivotField>
    <pivotField dataField="1" showAll="0"/>
    <pivotField showAll="0"/>
    <pivotField showAll="0"/>
  </pivotFields>
  <rowFields count="1">
    <field x="2"/>
  </rowFields>
  <rowItems count="5">
    <i>
      <x/>
    </i>
    <i>
      <x v="2"/>
    </i>
    <i>
      <x v="3"/>
    </i>
    <i>
      <x v="7"/>
    </i>
    <i t="grand">
      <x/>
    </i>
  </rowItems>
  <colItems count="1">
    <i/>
  </colItems>
  <pageFields count="1">
    <pageField fld="3" item="0" hier="-1"/>
  </pageFields>
  <dataFields count="1">
    <dataField name="Sum of Units_Sold" fld="4" baseField="0" baseItem="0"/>
  </dataField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72F6C9-CF50-46B8-9A19-8D0EEF424251}" name="PivotTable17"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7">
    <pivotField showAll="0"/>
    <pivotField numFmtId="165" showAll="0"/>
    <pivotField axis="axisRow" showAll="0" measureFilter="1">
      <items count="10">
        <item x="2"/>
        <item x="5"/>
        <item x="1"/>
        <item x="4"/>
        <item x="8"/>
        <item x="3"/>
        <item x="6"/>
        <item x="0"/>
        <item x="7"/>
        <item t="default"/>
      </items>
    </pivotField>
    <pivotField axis="axisPage" showAll="0">
      <items count="9">
        <item x="3"/>
        <item x="5"/>
        <item x="4"/>
        <item x="1"/>
        <item x="6"/>
        <item x="7"/>
        <item x="0"/>
        <item x="2"/>
        <item t="default"/>
      </items>
    </pivotField>
    <pivotField dataField="1" showAll="0"/>
    <pivotField showAll="0"/>
    <pivotField showAll="0"/>
  </pivotFields>
  <rowFields count="1">
    <field x="2"/>
  </rowFields>
  <rowItems count="4">
    <i>
      <x v="2"/>
    </i>
    <i>
      <x v="3"/>
    </i>
    <i>
      <x v="6"/>
    </i>
    <i t="grand">
      <x/>
    </i>
  </rowItems>
  <colItems count="1">
    <i/>
  </colItems>
  <pageFields count="1">
    <pageField fld="3" item="1" hier="-1"/>
  </pageFields>
  <dataFields count="1">
    <dataField name="Sum of Units_Sold" fld="4" baseField="0" baseItem="0"/>
  </dataField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72F6C9-CF50-46B8-9A19-8D0EEF424251}" name="PivotTable16"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7">
    <pivotField showAll="0"/>
    <pivotField numFmtId="165" showAll="0"/>
    <pivotField axis="axisRow" showAll="0" measureFilter="1">
      <items count="10">
        <item x="2"/>
        <item x="5"/>
        <item x="1"/>
        <item x="4"/>
        <item x="8"/>
        <item x="3"/>
        <item x="6"/>
        <item x="0"/>
        <item x="7"/>
        <item t="default"/>
      </items>
    </pivotField>
    <pivotField axis="axisPage" showAll="0">
      <items count="9">
        <item x="3"/>
        <item x="5"/>
        <item x="4"/>
        <item x="1"/>
        <item x="6"/>
        <item x="7"/>
        <item x="0"/>
        <item x="2"/>
        <item t="default"/>
      </items>
    </pivotField>
    <pivotField dataField="1" showAll="0"/>
    <pivotField showAll="0"/>
    <pivotField showAll="0"/>
  </pivotFields>
  <rowFields count="1">
    <field x="2"/>
  </rowFields>
  <rowItems count="5">
    <i>
      <x v="3"/>
    </i>
    <i>
      <x v="5"/>
    </i>
    <i>
      <x v="6"/>
    </i>
    <i>
      <x v="7"/>
    </i>
    <i t="grand">
      <x/>
    </i>
  </rowItems>
  <colItems count="1">
    <i/>
  </colItems>
  <pageFields count="1">
    <pageField fld="3" item="2" hier="-1"/>
  </pageFields>
  <dataFields count="1">
    <dataField name="Sum of Units_Sold" fld="4" baseField="0" baseItem="0"/>
  </dataField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72F6C9-CF50-46B8-9A19-8D0EEF424251}" name="PivotTable1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7">
    <pivotField showAll="0"/>
    <pivotField numFmtId="165" showAll="0"/>
    <pivotField axis="axisRow" showAll="0" measureFilter="1">
      <items count="10">
        <item x="2"/>
        <item x="5"/>
        <item x="1"/>
        <item x="4"/>
        <item x="8"/>
        <item x="3"/>
        <item x="6"/>
        <item x="0"/>
        <item x="7"/>
        <item t="default"/>
      </items>
    </pivotField>
    <pivotField axis="axisPage" showAll="0">
      <items count="9">
        <item x="3"/>
        <item x="5"/>
        <item x="4"/>
        <item x="1"/>
        <item x="6"/>
        <item x="7"/>
        <item x="0"/>
        <item x="2"/>
        <item t="default"/>
      </items>
    </pivotField>
    <pivotField dataField="1" showAll="0"/>
    <pivotField showAll="0"/>
    <pivotField showAll="0"/>
  </pivotFields>
  <rowFields count="1">
    <field x="2"/>
  </rowFields>
  <rowItems count="4">
    <i>
      <x v="1"/>
    </i>
    <i>
      <x v="4"/>
    </i>
    <i>
      <x v="7"/>
    </i>
    <i t="grand">
      <x/>
    </i>
  </rowItems>
  <colItems count="1">
    <i/>
  </colItems>
  <pageFields count="1">
    <pageField fld="3" item="3" hier="-1"/>
  </pageFields>
  <dataFields count="1">
    <dataField name="Sum of Units_Sold" fld="4" baseField="0" baseItem="0"/>
  </dataField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72F6C9-CF50-46B8-9A19-8D0EEF424251}" name="PivotTable1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7">
    <pivotField showAll="0"/>
    <pivotField numFmtId="165" showAll="0"/>
    <pivotField axis="axisRow" showAll="0" measureFilter="1">
      <items count="10">
        <item x="2"/>
        <item x="5"/>
        <item x="1"/>
        <item x="4"/>
        <item x="8"/>
        <item x="3"/>
        <item x="6"/>
        <item x="0"/>
        <item x="7"/>
        <item t="default"/>
      </items>
    </pivotField>
    <pivotField axis="axisPage" showAll="0">
      <items count="9">
        <item x="3"/>
        <item x="5"/>
        <item x="4"/>
        <item x="1"/>
        <item x="6"/>
        <item x="7"/>
        <item x="0"/>
        <item x="2"/>
        <item t="default"/>
      </items>
    </pivotField>
    <pivotField dataField="1" showAll="0"/>
    <pivotField showAll="0"/>
    <pivotField showAll="0"/>
  </pivotFields>
  <rowFields count="1">
    <field x="2"/>
  </rowFields>
  <rowItems count="4">
    <i>
      <x/>
    </i>
    <i>
      <x v="6"/>
    </i>
    <i>
      <x v="7"/>
    </i>
    <i t="grand">
      <x/>
    </i>
  </rowItems>
  <colItems count="1">
    <i/>
  </colItems>
  <pageFields count="1">
    <pageField fld="3" item="4" hier="-1"/>
  </pageFields>
  <dataFields count="1">
    <dataField name="Sum of Units_Sold" fld="4" baseField="0" baseItem="0"/>
  </dataField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72F6C9-CF50-46B8-9A19-8D0EEF424251}" name="PivotTable1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7">
    <pivotField showAll="0"/>
    <pivotField numFmtId="165" showAll="0"/>
    <pivotField axis="axisRow" showAll="0" measureFilter="1">
      <items count="10">
        <item x="2"/>
        <item x="5"/>
        <item x="1"/>
        <item x="4"/>
        <item x="8"/>
        <item x="3"/>
        <item x="6"/>
        <item x="0"/>
        <item x="7"/>
        <item t="default"/>
      </items>
    </pivotField>
    <pivotField axis="axisPage" showAll="0">
      <items count="9">
        <item x="3"/>
        <item x="5"/>
        <item x="4"/>
        <item x="1"/>
        <item x="6"/>
        <item x="7"/>
        <item x="0"/>
        <item x="2"/>
        <item t="default"/>
      </items>
    </pivotField>
    <pivotField dataField="1" showAll="0"/>
    <pivotField showAll="0"/>
    <pivotField showAll="0"/>
  </pivotFields>
  <rowFields count="1">
    <field x="2"/>
  </rowFields>
  <rowItems count="3">
    <i>
      <x v="2"/>
    </i>
    <i>
      <x v="5"/>
    </i>
    <i t="grand">
      <x/>
    </i>
  </rowItems>
  <colItems count="1">
    <i/>
  </colItems>
  <pageFields count="1">
    <pageField fld="3" item="5" hier="-1"/>
  </pageFields>
  <dataFields count="1">
    <dataField name="Sum of Units_Sold" fld="4" baseField="0" baseItem="0"/>
  </dataField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72F6C9-CF50-46B8-9A19-8D0EEF424251}" name="PivotTable1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7">
    <pivotField showAll="0"/>
    <pivotField numFmtId="165" showAll="0"/>
    <pivotField axis="axisRow" showAll="0" measureFilter="1">
      <items count="10">
        <item x="2"/>
        <item x="5"/>
        <item x="1"/>
        <item x="4"/>
        <item x="8"/>
        <item x="3"/>
        <item x="6"/>
        <item x="0"/>
        <item x="7"/>
        <item t="default"/>
      </items>
    </pivotField>
    <pivotField axis="axisPage" showAll="0">
      <items count="9">
        <item x="3"/>
        <item x="5"/>
        <item x="4"/>
        <item x="1"/>
        <item x="6"/>
        <item x="7"/>
        <item x="0"/>
        <item x="2"/>
        <item t="default"/>
      </items>
    </pivotField>
    <pivotField dataField="1" showAll="0"/>
    <pivotField showAll="0"/>
    <pivotField showAll="0"/>
  </pivotFields>
  <rowFields count="1">
    <field x="2"/>
  </rowFields>
  <rowItems count="5">
    <i>
      <x/>
    </i>
    <i>
      <x v="1"/>
    </i>
    <i>
      <x v="5"/>
    </i>
    <i>
      <x v="7"/>
    </i>
    <i t="grand">
      <x/>
    </i>
  </rowItems>
  <colItems count="1">
    <i/>
  </colItems>
  <pageFields count="1">
    <pageField fld="3" item="6" hier="-1"/>
  </pageFields>
  <dataFields count="1">
    <dataField name="Sum of Units_Sold" fld="4" baseField="0" baseItem="0"/>
  </dataField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172F6C9-CF50-46B8-9A19-8D0EEF424251}" name="PivotTable1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7">
    <pivotField showAll="0"/>
    <pivotField numFmtId="165" showAll="0"/>
    <pivotField axis="axisRow" showAll="0" measureFilter="1">
      <items count="10">
        <item x="2"/>
        <item x="5"/>
        <item x="1"/>
        <item x="4"/>
        <item x="8"/>
        <item x="3"/>
        <item x="6"/>
        <item x="0"/>
        <item x="7"/>
        <item t="default"/>
      </items>
    </pivotField>
    <pivotField axis="axisPage" showAll="0">
      <items count="9">
        <item x="3"/>
        <item x="5"/>
        <item x="4"/>
        <item x="1"/>
        <item x="6"/>
        <item x="7"/>
        <item x="0"/>
        <item x="2"/>
        <item t="default"/>
      </items>
    </pivotField>
    <pivotField dataField="1" showAll="0"/>
    <pivotField showAll="0"/>
    <pivotField showAll="0"/>
  </pivotFields>
  <rowFields count="1">
    <field x="2"/>
  </rowFields>
  <rowItems count="4">
    <i>
      <x v="5"/>
    </i>
    <i>
      <x v="6"/>
    </i>
    <i>
      <x v="7"/>
    </i>
    <i t="grand">
      <x/>
    </i>
  </rowItems>
  <colItems count="1">
    <i/>
  </colItems>
  <pageFields count="1">
    <pageField fld="3" item="7" hier="-1"/>
  </pageFields>
  <dataFields count="1">
    <dataField name="Sum of Units_Sold" fld="4" baseField="0" baseItem="0"/>
  </dataField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CCA80E-6F3B-4032-B82E-EC497BFBC955}" name="PivotTable20"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5:R13" firstHeaderRow="1" firstDataRow="1" firstDataCol="1"/>
  <pivotFields count="3">
    <pivotField showAll="0"/>
    <pivotField axis="axisRow" showAll="0">
      <items count="8">
        <item x="0"/>
        <item x="3"/>
        <item x="2"/>
        <item x="4"/>
        <item x="1"/>
        <item x="5"/>
        <item x="6"/>
        <item t="default"/>
      </items>
    </pivotField>
    <pivotField dataField="1" showAll="0"/>
  </pivotFields>
  <rowFields count="1">
    <field x="1"/>
  </rowFields>
  <rowItems count="8">
    <i>
      <x/>
    </i>
    <i>
      <x v="1"/>
    </i>
    <i>
      <x v="2"/>
    </i>
    <i>
      <x v="3"/>
    </i>
    <i>
      <x v="4"/>
    </i>
    <i>
      <x v="5"/>
    </i>
    <i>
      <x v="6"/>
    </i>
    <i t="grand">
      <x/>
    </i>
  </rowItems>
  <colItems count="1">
    <i/>
  </colItems>
  <dataFields count="1">
    <dataField name="Count of revenu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3CF10E-8B66-4EB1-85DC-33566CFE7FB1}" name="PivotTable19"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5" firstHeaderRow="1" firstDataRow="1" firstDataCol="1"/>
  <pivotFields count="3">
    <pivotField showAll="0"/>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172F6C9-CF50-46B8-9A19-8D0EEF424251}" name="PivotTable10"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7">
    <pivotField showAll="0"/>
    <pivotField numFmtId="165" showAll="0"/>
    <pivotField axis="axisRow" showAll="0" measureFilter="1">
      <items count="10">
        <item x="2"/>
        <item x="5"/>
        <item x="1"/>
        <item x="4"/>
        <item x="8"/>
        <item x="3"/>
        <item x="6"/>
        <item x="0"/>
        <item x="7"/>
        <item t="default"/>
      </items>
    </pivotField>
    <pivotField axis="axisPage" showAll="0">
      <items count="9">
        <item x="3"/>
        <item x="5"/>
        <item x="4"/>
        <item x="1"/>
        <item x="6"/>
        <item x="7"/>
        <item x="0"/>
        <item x="2"/>
        <item t="default"/>
      </items>
    </pivotField>
    <pivotField dataField="1" showAll="0"/>
    <pivotField showAll="0"/>
    <pivotField showAll="0"/>
  </pivotFields>
  <rowFields count="1">
    <field x="2"/>
  </rowFields>
  <rowItems count="4">
    <i>
      <x v="1"/>
    </i>
    <i>
      <x v="6"/>
    </i>
    <i>
      <x v="7"/>
    </i>
    <i t="grand">
      <x/>
    </i>
  </rowItems>
  <colItems count="1">
    <i/>
  </colItems>
  <pageFields count="1">
    <pageField fld="3" hier="-1"/>
  </pageFields>
  <dataFields count="1">
    <dataField name="Sum of Units_Sold" fld="4" baseField="0" baseItem="0"/>
  </dataField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131EB9B-705D-41C7-8F53-1F90CAADD485}"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L12" firstHeaderRow="0" firstDataRow="1" firstDataCol="1"/>
  <pivotFields count="11">
    <pivotField showAll="0"/>
    <pivotField numFmtId="165" showAll="0">
      <items count="47">
        <item x="1"/>
        <item x="28"/>
        <item x="11"/>
        <item x="43"/>
        <item x="12"/>
        <item x="5"/>
        <item x="33"/>
        <item x="8"/>
        <item x="17"/>
        <item x="31"/>
        <item x="26"/>
        <item x="25"/>
        <item x="13"/>
        <item x="27"/>
        <item x="22"/>
        <item x="39"/>
        <item x="15"/>
        <item x="38"/>
        <item x="10"/>
        <item x="32"/>
        <item x="44"/>
        <item x="9"/>
        <item x="29"/>
        <item x="37"/>
        <item x="3"/>
        <item x="35"/>
        <item x="30"/>
        <item x="0"/>
        <item x="41"/>
        <item x="34"/>
        <item x="36"/>
        <item x="6"/>
        <item x="21"/>
        <item x="19"/>
        <item x="7"/>
        <item x="16"/>
        <item x="45"/>
        <item x="4"/>
        <item x="18"/>
        <item x="42"/>
        <item x="23"/>
        <item x="40"/>
        <item x="14"/>
        <item x="24"/>
        <item x="20"/>
        <item x="2"/>
        <item t="default"/>
      </items>
    </pivotField>
    <pivotField axis="axisRow" showAll="0">
      <items count="10">
        <item x="2"/>
        <item x="5"/>
        <item x="1"/>
        <item x="4"/>
        <item x="8"/>
        <item x="3"/>
        <item x="6"/>
        <item x="0"/>
        <item x="7"/>
        <item t="default"/>
      </items>
    </pivotField>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 dataField="1" dragToRow="0" dragToCol="0" dragToPage="0" showAll="0" defaultSubtotal="0"/>
  </pivotFields>
  <rowFields count="1">
    <field x="2"/>
  </rowFields>
  <rowItems count="10">
    <i>
      <x/>
    </i>
    <i>
      <x v="1"/>
    </i>
    <i>
      <x v="2"/>
    </i>
    <i>
      <x v="3"/>
    </i>
    <i>
      <x v="4"/>
    </i>
    <i>
      <x v="5"/>
    </i>
    <i>
      <x v="6"/>
    </i>
    <i>
      <x v="7"/>
    </i>
    <i>
      <x v="8"/>
    </i>
    <i t="grand">
      <x/>
    </i>
  </rowItems>
  <colFields count="1">
    <field x="-2"/>
  </colFields>
  <colItems count="2">
    <i>
      <x/>
    </i>
    <i i="1">
      <x v="1"/>
    </i>
  </colItems>
  <dataFields count="2">
    <dataField name="Sum of Total_Sales" fld="6" baseField="0" baseItem="0"/>
    <dataField name="Sum of incentiv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15</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ACE824BA-FEC0-4118-AB64-5A0825C90607}" sourceName="Customer_Name">
  <pivotTables>
    <pivotTable tabId="7" name="PivotTable3"/>
  </pivotTables>
  <data>
    <tabular pivotCacheId="202013827">
      <items count="7">
        <i x="2"/>
        <i x="5"/>
        <i x="1"/>
        <i x="4"/>
        <i x="3" s="1"/>
        <i x="6"/>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8F08BBA-9473-4B8C-9E5F-04A8C239F241}" sourceName="Product">
  <pivotTables>
    <pivotTable tabId="7" name="PivotTable2"/>
    <pivotTable tabId="7" name="PivotTable3"/>
  </pivotTables>
  <data>
    <tabular pivotCacheId="202013827">
      <items count="7">
        <i x="3" s="1"/>
        <i x="5" s="1"/>
        <i x="4" s="1"/>
        <i x="1" s="1"/>
        <i x="6"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DB2AEC4A-02A2-40FD-9C3F-806142CDD3AA}" cache="Slicer_Customer_Name" caption="Customer_Name" rowHeight="247650"/>
  <slicer name="Product" xr10:uid="{C3D04F82-CCEB-4E66-AF32-D188CEDEEA94}"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5B7A13-BFCF-46E9-B7F5-EBF84A438AAE}" name="Table7" displayName="Table7" ref="A3:C4" totalsRowShown="0">
  <autoFilter ref="A3:C4" xr:uid="{DA5B7A13-BFCF-46E9-B7F5-EBF84A438AAE}"/>
  <tableColumns count="3">
    <tableColumn id="1" xr3:uid="{0A7563A4-21A6-4042-A1F3-26875239C5BD}" name="Zone"/>
    <tableColumn id="2" xr3:uid="{2FD469D5-05FF-4E68-AA4B-DF3F00B8009B}" name="customer type"/>
    <tableColumn id="3" xr3:uid="{5F6B9BAD-5F6C-4979-BB40-3EEC9C9EC3C5}"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5E232AE-869F-4EF7-8119-35EFA52D1B0D}" name="Table6" displayName="Table6" ref="A1:C16" totalsRowShown="0">
  <autoFilter ref="A1:C16" xr:uid="{C5E232AE-869F-4EF7-8119-35EFA52D1B0D}"/>
  <tableColumns count="3">
    <tableColumn id="1" xr3:uid="{0CFF0546-F072-4A46-9DBA-1623FCEBE936}" name="Zone"/>
    <tableColumn id="2" xr3:uid="{EB6F889E-F949-48E7-9905-48BEDCA413A1}" name="customer type"/>
    <tableColumn id="3" xr3:uid="{EE9356D0-9B08-4FB5-8444-5E39DF5E8C80}" name="reven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5F1B80-C30D-4A0B-B6F1-A8E97D552634}" name="Table4" displayName="Table4" ref="A1:G52" totalsRowCount="1" headerRowDxfId="0">
  <autoFilter ref="A1:G51" xr:uid="{895F1B80-C30D-4A0B-B6F1-A8E97D552634}"/>
  <tableColumns count="7">
    <tableColumn id="1" xr3:uid="{39D5F264-6501-4525-A088-EF204317FCB2}" name="Transaction_ID" totalsRowLabel="Total"/>
    <tableColumn id="2" xr3:uid="{5B1F276B-F7EE-45D8-A009-7BA3FB178EEB}" name="Date" dataDxfId="1"/>
    <tableColumn id="3" xr3:uid="{5AD87581-DE6E-4177-A244-FCD1F8D468EE}" name="Customer_Name"/>
    <tableColumn id="4" xr3:uid="{AF7AE87C-B36C-4F58-AA0A-F10859D8847F}" name="Product"/>
    <tableColumn id="5" xr3:uid="{32BE690E-D5E6-481F-B397-C95465BEB3F0}" name="Units_Sold"/>
    <tableColumn id="6" xr3:uid="{C642FE1F-2EC6-4A5D-B56C-7B2172EDBD6B}" name="Price_Per_Unit"/>
    <tableColumn id="7" xr3:uid="{B30973AB-E3F0-4486-A5EE-69874B33EFB3}" name="Total_Sales" totalsRowFunction="sum">
      <calculatedColumnFormula>E2*F2</calculatedColumnFormula>
    </tableColumn>
  </tableColumns>
  <tableStyleInfo name="TableStyleLight5"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1.bin"/><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C8E62-6B9E-4426-9686-3AA32EA3BB74}">
  <sheetPr codeName="Sheet1"/>
  <dimension ref="A3:D7"/>
  <sheetViews>
    <sheetView topLeftCell="B1" workbookViewId="0">
      <selection activeCell="A4" sqref="A4"/>
    </sheetView>
  </sheetViews>
  <sheetFormatPr defaultRowHeight="14.4" x14ac:dyDescent="0.3"/>
  <cols>
    <col min="1" max="1" width="12.44140625" bestFit="1" customWidth="1"/>
    <col min="2" max="2" width="16" bestFit="1" customWidth="1"/>
    <col min="3" max="3" width="19.33203125" bestFit="1" customWidth="1"/>
    <col min="4" max="4" width="16.5546875" bestFit="1" customWidth="1"/>
    <col min="5" max="5" width="19.33203125" bestFit="1" customWidth="1"/>
    <col min="6" max="6" width="16" bestFit="1" customWidth="1"/>
    <col min="7" max="7" width="19.33203125" bestFit="1" customWidth="1"/>
    <col min="8" max="8" width="16" bestFit="1" customWidth="1"/>
    <col min="9" max="9" width="19.33203125" bestFit="1" customWidth="1"/>
    <col min="10" max="10" width="16" bestFit="1" customWidth="1"/>
    <col min="11" max="11" width="19.33203125" bestFit="1" customWidth="1"/>
    <col min="12" max="12" width="16" bestFit="1" customWidth="1"/>
    <col min="13" max="13" width="19.33203125" bestFit="1" customWidth="1"/>
    <col min="14" max="14" width="16" bestFit="1" customWidth="1"/>
    <col min="15" max="15" width="19.33203125" bestFit="1" customWidth="1"/>
    <col min="16" max="16" width="16" bestFit="1" customWidth="1"/>
    <col min="17" max="17" width="19.33203125" bestFit="1" customWidth="1"/>
    <col min="18" max="18" width="20.5546875" bestFit="1" customWidth="1"/>
    <col min="19" max="19" width="23.88671875" bestFit="1" customWidth="1"/>
  </cols>
  <sheetData>
    <row r="3" spans="1:4" x14ac:dyDescent="0.3">
      <c r="A3" s="3" t="s">
        <v>74</v>
      </c>
      <c r="B3" t="s">
        <v>76</v>
      </c>
      <c r="C3" t="s">
        <v>78</v>
      </c>
      <c r="D3" t="s">
        <v>77</v>
      </c>
    </row>
    <row r="4" spans="1:4" x14ac:dyDescent="0.3">
      <c r="A4" s="4" t="s">
        <v>14</v>
      </c>
      <c r="B4" s="5">
        <v>26</v>
      </c>
      <c r="C4" s="5">
        <v>154807</v>
      </c>
      <c r="D4" s="5">
        <v>624719</v>
      </c>
    </row>
    <row r="5" spans="1:4" x14ac:dyDescent="0.3">
      <c r="A5" s="4" t="s">
        <v>79</v>
      </c>
      <c r="B5" s="5">
        <v>44</v>
      </c>
      <c r="C5" s="5">
        <v>295544</v>
      </c>
      <c r="D5" s="5">
        <v>1100477</v>
      </c>
    </row>
    <row r="6" spans="1:4" x14ac:dyDescent="0.3">
      <c r="A6" s="4" t="s">
        <v>80</v>
      </c>
      <c r="B6" s="5">
        <v>146</v>
      </c>
      <c r="C6" s="5">
        <v>836596</v>
      </c>
      <c r="D6" s="5">
        <v>3721440</v>
      </c>
    </row>
    <row r="7" spans="1:4" x14ac:dyDescent="0.3">
      <c r="A7" s="4" t="s">
        <v>75</v>
      </c>
      <c r="B7" s="5">
        <v>216</v>
      </c>
      <c r="C7" s="5">
        <v>1286947</v>
      </c>
      <c r="D7" s="5">
        <v>5446636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C6456-4AA0-4A82-B463-BA34A8C57DA1}">
  <sheetPr codeName="Sheet2"/>
  <dimension ref="A3:B18"/>
  <sheetViews>
    <sheetView workbookViewId="0">
      <selection activeCell="A16" sqref="A16:B24"/>
    </sheetView>
  </sheetViews>
  <sheetFormatPr defaultRowHeight="14.4" x14ac:dyDescent="0.3"/>
  <cols>
    <col min="1" max="1" width="12.44140625" bestFit="1" customWidth="1"/>
    <col min="2" max="2" width="16" bestFit="1" customWidth="1"/>
  </cols>
  <sheetData>
    <row r="3" spans="1:2" x14ac:dyDescent="0.3">
      <c r="A3" s="3" t="s">
        <v>74</v>
      </c>
      <c r="B3" t="s">
        <v>76</v>
      </c>
    </row>
    <row r="4" spans="1:2" x14ac:dyDescent="0.3">
      <c r="A4" s="4" t="s">
        <v>20</v>
      </c>
      <c r="B4" s="5">
        <v>2</v>
      </c>
    </row>
    <row r="5" spans="1:2" x14ac:dyDescent="0.3">
      <c r="A5" s="4" t="s">
        <v>28</v>
      </c>
      <c r="B5" s="5">
        <v>1</v>
      </c>
    </row>
    <row r="6" spans="1:2" x14ac:dyDescent="0.3">
      <c r="A6" s="4" t="s">
        <v>25</v>
      </c>
      <c r="B6" s="5">
        <v>2</v>
      </c>
    </row>
    <row r="7" spans="1:2" x14ac:dyDescent="0.3">
      <c r="A7" s="4" t="s">
        <v>12</v>
      </c>
      <c r="B7" s="5">
        <v>3</v>
      </c>
    </row>
    <row r="8" spans="1:2" x14ac:dyDescent="0.3">
      <c r="A8" s="4" t="s">
        <v>32</v>
      </c>
      <c r="B8" s="5">
        <v>10</v>
      </c>
    </row>
    <row r="9" spans="1:2" x14ac:dyDescent="0.3">
      <c r="A9" s="4" t="s">
        <v>9</v>
      </c>
      <c r="B9" s="5">
        <v>9</v>
      </c>
    </row>
    <row r="10" spans="1:2" x14ac:dyDescent="0.3">
      <c r="A10" s="4" t="s">
        <v>73</v>
      </c>
      <c r="B10" s="5">
        <v>3</v>
      </c>
    </row>
    <row r="11" spans="1:2" x14ac:dyDescent="0.3">
      <c r="A11" s="4" t="s">
        <v>75</v>
      </c>
      <c r="B11" s="5">
        <v>30</v>
      </c>
    </row>
    <row r="16" spans="1:2" x14ac:dyDescent="0.3">
      <c r="A16" s="3" t="s">
        <v>74</v>
      </c>
      <c r="B16" t="s">
        <v>76</v>
      </c>
    </row>
    <row r="17" spans="1:2" x14ac:dyDescent="0.3">
      <c r="A17" s="4" t="s">
        <v>9</v>
      </c>
      <c r="B17" s="5">
        <v>5</v>
      </c>
    </row>
    <row r="18" spans="1:2" x14ac:dyDescent="0.3">
      <c r="A18" s="4" t="s">
        <v>75</v>
      </c>
      <c r="B18" s="5">
        <v>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17052-8B1F-432F-8021-2E10084D0D6A}">
  <sheetPr codeName="Sheet3"/>
  <dimension ref="A3:E11"/>
  <sheetViews>
    <sheetView workbookViewId="0">
      <selection activeCell="C7" sqref="C7"/>
    </sheetView>
  </sheetViews>
  <sheetFormatPr defaultRowHeight="14.4" x14ac:dyDescent="0.3"/>
  <cols>
    <col min="1" max="1" width="18.33203125" bestFit="1" customWidth="1"/>
    <col min="2" max="2" width="17" bestFit="1" customWidth="1"/>
    <col min="3" max="3" width="15" bestFit="1" customWidth="1"/>
    <col min="4" max="4" width="12.77734375" bestFit="1" customWidth="1"/>
    <col min="5" max="5" width="6.33203125" bestFit="1" customWidth="1"/>
  </cols>
  <sheetData>
    <row r="3" spans="1:5" x14ac:dyDescent="0.3">
      <c r="A3" s="3" t="s">
        <v>2</v>
      </c>
      <c r="B3" t="s">
        <v>37</v>
      </c>
      <c r="D3" s="3" t="s">
        <v>4</v>
      </c>
      <c r="E3" t="s">
        <v>91</v>
      </c>
    </row>
    <row r="4" spans="1:5" x14ac:dyDescent="0.3">
      <c r="A4" s="3" t="s">
        <v>3</v>
      </c>
      <c r="B4" t="s">
        <v>91</v>
      </c>
      <c r="D4" s="3" t="s">
        <v>5</v>
      </c>
      <c r="E4" t="s">
        <v>91</v>
      </c>
    </row>
    <row r="6" spans="1:5" x14ac:dyDescent="0.3">
      <c r="A6" s="8" t="s">
        <v>77</v>
      </c>
      <c r="B6" s="9"/>
      <c r="C6" s="9"/>
      <c r="D6" s="9"/>
    </row>
    <row r="7" spans="1:5" x14ac:dyDescent="0.3">
      <c r="A7" s="8" t="s">
        <v>86</v>
      </c>
      <c r="B7" s="8" t="s">
        <v>84</v>
      </c>
      <c r="C7" s="8" t="s">
        <v>85</v>
      </c>
      <c r="D7" s="9" t="s">
        <v>81</v>
      </c>
    </row>
    <row r="8" spans="1:5" x14ac:dyDescent="0.3">
      <c r="A8" s="12" t="s">
        <v>87</v>
      </c>
      <c r="B8" s="11" t="s">
        <v>82</v>
      </c>
      <c r="C8" s="10"/>
      <c r="D8" s="5">
        <v>49773</v>
      </c>
    </row>
    <row r="9" spans="1:5" x14ac:dyDescent="0.3">
      <c r="A9" s="11" t="s">
        <v>88</v>
      </c>
      <c r="B9" s="10"/>
      <c r="C9" s="10"/>
      <c r="D9" s="5">
        <v>49773</v>
      </c>
    </row>
    <row r="10" spans="1:5" x14ac:dyDescent="0.3">
      <c r="A10" s="12" t="s">
        <v>89</v>
      </c>
      <c r="B10" s="11" t="s">
        <v>83</v>
      </c>
      <c r="C10" s="10"/>
      <c r="D10" s="5">
        <v>83476</v>
      </c>
    </row>
    <row r="11" spans="1:5" x14ac:dyDescent="0.3">
      <c r="A11" s="11" t="s">
        <v>90</v>
      </c>
      <c r="B11" s="10"/>
      <c r="C11" s="10"/>
      <c r="D11" s="5">
        <v>83476</v>
      </c>
    </row>
  </sheetData>
  <mergeCells count="4">
    <mergeCell ref="B10:C10"/>
    <mergeCell ref="A9:C9"/>
    <mergeCell ref="A11:C11"/>
    <mergeCell ref="B8: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6F97-F21E-453E-BA36-EE6734A65063}">
  <sheetPr codeName="Sheet4"/>
  <dimension ref="A3:D14"/>
  <sheetViews>
    <sheetView workbookViewId="0">
      <selection activeCell="D7" sqref="D7"/>
    </sheetView>
  </sheetViews>
  <sheetFormatPr defaultRowHeight="14.4" x14ac:dyDescent="0.3"/>
  <cols>
    <col min="1" max="1" width="17.21875" bestFit="1" customWidth="1"/>
    <col min="2" max="2" width="16.5546875" bestFit="1" customWidth="1"/>
    <col min="3" max="3" width="18.109375" bestFit="1" customWidth="1"/>
    <col min="4" max="4" width="17.6640625" bestFit="1" customWidth="1"/>
  </cols>
  <sheetData>
    <row r="3" spans="1:4" x14ac:dyDescent="0.3">
      <c r="B3" s="3" t="s">
        <v>93</v>
      </c>
    </row>
    <row r="4" spans="1:4" x14ac:dyDescent="0.3">
      <c r="A4" s="3" t="s">
        <v>2</v>
      </c>
      <c r="B4" t="s">
        <v>77</v>
      </c>
      <c r="C4" t="s">
        <v>94</v>
      </c>
      <c r="D4" t="s">
        <v>92</v>
      </c>
    </row>
    <row r="5" spans="1:4" x14ac:dyDescent="0.3">
      <c r="A5" t="s">
        <v>14</v>
      </c>
      <c r="B5" s="5">
        <v>624719</v>
      </c>
      <c r="C5" s="13"/>
      <c r="D5" s="5">
        <v>5</v>
      </c>
    </row>
    <row r="6" spans="1:4" x14ac:dyDescent="0.3">
      <c r="A6" t="s">
        <v>23</v>
      </c>
      <c r="B6" s="5">
        <v>921130</v>
      </c>
      <c r="C6" s="13">
        <v>0.47447092212658809</v>
      </c>
      <c r="D6" s="5">
        <v>2</v>
      </c>
    </row>
    <row r="7" spans="1:4" x14ac:dyDescent="0.3">
      <c r="A7" t="s">
        <v>11</v>
      </c>
      <c r="B7" s="5">
        <v>179347</v>
      </c>
      <c r="C7" s="13">
        <v>-0.71291572691081906</v>
      </c>
      <c r="D7" s="5">
        <v>8</v>
      </c>
    </row>
    <row r="8" spans="1:4" x14ac:dyDescent="0.3">
      <c r="A8" t="s">
        <v>18</v>
      </c>
      <c r="B8" s="5">
        <v>755581</v>
      </c>
      <c r="C8" s="13">
        <v>0.20947337923130238</v>
      </c>
      <c r="D8" s="5">
        <v>3</v>
      </c>
    </row>
    <row r="9" spans="1:4" x14ac:dyDescent="0.3">
      <c r="A9" t="s">
        <v>39</v>
      </c>
      <c r="B9" s="5">
        <v>245626</v>
      </c>
      <c r="C9" s="13">
        <v>-0.60682162700350073</v>
      </c>
      <c r="D9" s="5">
        <v>7</v>
      </c>
    </row>
    <row r="10" spans="1:4" x14ac:dyDescent="0.3">
      <c r="A10" t="s">
        <v>16</v>
      </c>
      <c r="B10" s="5">
        <v>669157</v>
      </c>
      <c r="C10" s="13">
        <v>7.1132781298471795E-2</v>
      </c>
      <c r="D10" s="5">
        <v>4</v>
      </c>
    </row>
    <row r="11" spans="1:4" x14ac:dyDescent="0.3">
      <c r="A11" t="s">
        <v>31</v>
      </c>
      <c r="B11" s="5">
        <v>608860</v>
      </c>
      <c r="C11" s="13">
        <v>-2.5385813461732396E-2</v>
      </c>
      <c r="D11" s="5">
        <v>6</v>
      </c>
    </row>
    <row r="12" spans="1:4" x14ac:dyDescent="0.3">
      <c r="A12" t="s">
        <v>8</v>
      </c>
      <c r="B12" s="5">
        <v>1308967</v>
      </c>
      <c r="C12" s="13">
        <v>1.0952892420432225</v>
      </c>
      <c r="D12" s="5">
        <v>1</v>
      </c>
    </row>
    <row r="13" spans="1:4" x14ac:dyDescent="0.3">
      <c r="A13" t="s">
        <v>37</v>
      </c>
      <c r="B13" s="5">
        <v>133249</v>
      </c>
      <c r="C13" s="13">
        <v>-0.78670570288401664</v>
      </c>
      <c r="D13" s="5">
        <v>9</v>
      </c>
    </row>
    <row r="14" spans="1:4" x14ac:dyDescent="0.3">
      <c r="A14" t="s">
        <v>75</v>
      </c>
      <c r="B14" s="5">
        <v>5446636</v>
      </c>
      <c r="C14" s="13"/>
      <c r="D14"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12446-D534-45BA-A2DA-AB44EC3364BF}">
  <sheetPr codeName="Sheet5"/>
  <dimension ref="A1:C13"/>
  <sheetViews>
    <sheetView workbookViewId="0">
      <selection activeCell="D3" sqref="D3"/>
    </sheetView>
  </sheetViews>
  <sheetFormatPr defaultRowHeight="14.4" x14ac:dyDescent="0.3"/>
  <cols>
    <col min="1" max="1" width="14.88671875" bestFit="1" customWidth="1"/>
    <col min="2" max="2" width="8.21875" bestFit="1" customWidth="1"/>
    <col min="3" max="3" width="49.109375" bestFit="1" customWidth="1"/>
  </cols>
  <sheetData>
    <row r="1" spans="1:3" x14ac:dyDescent="0.3">
      <c r="A1" s="14" t="s">
        <v>96</v>
      </c>
    </row>
    <row r="2" spans="1:3" x14ac:dyDescent="0.3">
      <c r="A2" s="15" t="s">
        <v>97</v>
      </c>
      <c r="B2" s="15" t="s">
        <v>98</v>
      </c>
      <c r="C2" s="15" t="s">
        <v>99</v>
      </c>
    </row>
    <row r="3" spans="1:3" x14ac:dyDescent="0.3">
      <c r="A3">
        <v>1</v>
      </c>
      <c r="B3" t="s">
        <v>100</v>
      </c>
      <c r="C3" t="e" cm="1">
        <f t="array" ref="C3" xml:space="preserve"> IF(Total_Sales &gt;=50000,Total_Sales *2%,Total_Sales *1%)</f>
        <v>#NAME?</v>
      </c>
    </row>
    <row r="5" spans="1:3" x14ac:dyDescent="0.3">
      <c r="A5" s="14" t="s">
        <v>101</v>
      </c>
    </row>
    <row r="6" spans="1:3" x14ac:dyDescent="0.3">
      <c r="A6" s="15" t="s">
        <v>97</v>
      </c>
      <c r="B6" s="15" t="s">
        <v>102</v>
      </c>
      <c r="C6" s="15" t="s">
        <v>99</v>
      </c>
    </row>
    <row r="9" spans="1:3" x14ac:dyDescent="0.3">
      <c r="A9" s="14" t="s">
        <v>103</v>
      </c>
      <c r="B9" t="s">
        <v>104</v>
      </c>
    </row>
    <row r="10" spans="1:3" x14ac:dyDescent="0.3">
      <c r="B10" t="s">
        <v>105</v>
      </c>
    </row>
    <row r="12" spans="1:3" x14ac:dyDescent="0.3">
      <c r="B12" t="s">
        <v>106</v>
      </c>
    </row>
    <row r="13" spans="1:3" x14ac:dyDescent="0.3">
      <c r="B13" t="s">
        <v>107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5758-ED82-4A92-936B-C473675E86C1}">
  <sheetPr codeName="Sheet6"/>
  <dimension ref="A1:B8"/>
  <sheetViews>
    <sheetView topLeftCell="B6" workbookViewId="0"/>
  </sheetViews>
  <sheetFormatPr defaultRowHeight="14.4" x14ac:dyDescent="0.3"/>
  <cols>
    <col min="1" max="1" width="12.44140625" bestFit="1" customWidth="1"/>
    <col min="2" max="2" width="16" bestFit="1" customWidth="1"/>
  </cols>
  <sheetData>
    <row r="1" spans="1:2" x14ac:dyDescent="0.3">
      <c r="A1" s="3" t="s">
        <v>3</v>
      </c>
      <c r="B1" t="s">
        <v>20</v>
      </c>
    </row>
    <row r="3" spans="1:2" x14ac:dyDescent="0.3">
      <c r="A3" s="3" t="s">
        <v>74</v>
      </c>
      <c r="B3" t="s">
        <v>76</v>
      </c>
    </row>
    <row r="4" spans="1:2" x14ac:dyDescent="0.3">
      <c r="A4" s="4" t="s">
        <v>14</v>
      </c>
      <c r="B4" s="5">
        <v>11</v>
      </c>
    </row>
    <row r="5" spans="1:2" x14ac:dyDescent="0.3">
      <c r="A5" s="4" t="s">
        <v>11</v>
      </c>
      <c r="B5" s="5">
        <v>1</v>
      </c>
    </row>
    <row r="6" spans="1:2" x14ac:dyDescent="0.3">
      <c r="A6" s="4" t="s">
        <v>18</v>
      </c>
      <c r="B6" s="5">
        <v>1</v>
      </c>
    </row>
    <row r="7" spans="1:2" x14ac:dyDescent="0.3">
      <c r="A7" s="4" t="s">
        <v>8</v>
      </c>
      <c r="B7" s="5">
        <v>7</v>
      </c>
    </row>
    <row r="8" spans="1:2" x14ac:dyDescent="0.3">
      <c r="A8" s="4" t="s">
        <v>75</v>
      </c>
      <c r="B8" s="5">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C10AE-8976-433D-B790-1D0AEBFC0592}">
  <sheetPr codeName="Sheet7"/>
  <dimension ref="A1:B7"/>
  <sheetViews>
    <sheetView workbookViewId="0"/>
  </sheetViews>
  <sheetFormatPr defaultRowHeight="14.4" x14ac:dyDescent="0.3"/>
  <cols>
    <col min="1" max="1" width="12.44140625" bestFit="1" customWidth="1"/>
    <col min="2" max="2" width="16" bestFit="1" customWidth="1"/>
  </cols>
  <sheetData>
    <row r="1" spans="1:2" x14ac:dyDescent="0.3">
      <c r="A1" s="3" t="s">
        <v>3</v>
      </c>
      <c r="B1" t="s">
        <v>28</v>
      </c>
    </row>
    <row r="3" spans="1:2" x14ac:dyDescent="0.3">
      <c r="A3" s="3" t="s">
        <v>74</v>
      </c>
      <c r="B3" t="s">
        <v>76</v>
      </c>
    </row>
    <row r="4" spans="1:2" x14ac:dyDescent="0.3">
      <c r="A4" s="4" t="s">
        <v>11</v>
      </c>
      <c r="B4" s="5">
        <v>5</v>
      </c>
    </row>
    <row r="5" spans="1:2" x14ac:dyDescent="0.3">
      <c r="A5" s="4" t="s">
        <v>18</v>
      </c>
      <c r="B5" s="5">
        <v>17</v>
      </c>
    </row>
    <row r="6" spans="1:2" x14ac:dyDescent="0.3">
      <c r="A6" s="4" t="s">
        <v>31</v>
      </c>
      <c r="B6" s="5">
        <v>8</v>
      </c>
    </row>
    <row r="7" spans="1:2" x14ac:dyDescent="0.3">
      <c r="A7" s="4" t="s">
        <v>75</v>
      </c>
      <c r="B7" s="5">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D4601-A6CB-44D1-9C80-7CB1B23C3685}">
  <sheetPr codeName="Sheet8"/>
  <dimension ref="A1:B8"/>
  <sheetViews>
    <sheetView workbookViewId="0"/>
  </sheetViews>
  <sheetFormatPr defaultRowHeight="14.4" x14ac:dyDescent="0.3"/>
  <cols>
    <col min="1" max="1" width="12.44140625" bestFit="1" customWidth="1"/>
    <col min="2" max="2" width="16" bestFit="1" customWidth="1"/>
  </cols>
  <sheetData>
    <row r="1" spans="1:2" x14ac:dyDescent="0.3">
      <c r="A1" s="3" t="s">
        <v>3</v>
      </c>
      <c r="B1" t="s">
        <v>25</v>
      </c>
    </row>
    <row r="3" spans="1:2" x14ac:dyDescent="0.3">
      <c r="A3" s="3" t="s">
        <v>74</v>
      </c>
      <c r="B3" t="s">
        <v>76</v>
      </c>
    </row>
    <row r="4" spans="1:2" x14ac:dyDescent="0.3">
      <c r="A4" s="4" t="s">
        <v>18</v>
      </c>
      <c r="B4" s="5">
        <v>2</v>
      </c>
    </row>
    <row r="5" spans="1:2" x14ac:dyDescent="0.3">
      <c r="A5" s="4" t="s">
        <v>16</v>
      </c>
      <c r="B5" s="5">
        <v>5</v>
      </c>
    </row>
    <row r="6" spans="1:2" x14ac:dyDescent="0.3">
      <c r="A6" s="4" t="s">
        <v>31</v>
      </c>
      <c r="B6" s="5">
        <v>8</v>
      </c>
    </row>
    <row r="7" spans="1:2" x14ac:dyDescent="0.3">
      <c r="A7" s="4" t="s">
        <v>8</v>
      </c>
      <c r="B7" s="5">
        <v>2</v>
      </c>
    </row>
    <row r="8" spans="1:2" x14ac:dyDescent="0.3">
      <c r="A8" s="4" t="s">
        <v>75</v>
      </c>
      <c r="B8" s="5">
        <v>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ADD1-21BF-4D11-B950-FD392CD4B280}">
  <sheetPr codeName="Sheet9"/>
  <dimension ref="A1:B7"/>
  <sheetViews>
    <sheetView workbookViewId="0"/>
  </sheetViews>
  <sheetFormatPr defaultRowHeight="14.4" x14ac:dyDescent="0.3"/>
  <cols>
    <col min="1" max="1" width="12.44140625" bestFit="1" customWidth="1"/>
    <col min="2" max="2" width="16" bestFit="1" customWidth="1"/>
  </cols>
  <sheetData>
    <row r="1" spans="1:2" x14ac:dyDescent="0.3">
      <c r="A1" s="3" t="s">
        <v>3</v>
      </c>
      <c r="B1" t="s">
        <v>12</v>
      </c>
    </row>
    <row r="3" spans="1:2" x14ac:dyDescent="0.3">
      <c r="A3" s="3" t="s">
        <v>74</v>
      </c>
      <c r="B3" t="s">
        <v>76</v>
      </c>
    </row>
    <row r="4" spans="1:2" x14ac:dyDescent="0.3">
      <c r="A4" s="4" t="s">
        <v>23</v>
      </c>
      <c r="B4" s="5">
        <v>8</v>
      </c>
    </row>
    <row r="5" spans="1:2" x14ac:dyDescent="0.3">
      <c r="A5" s="4" t="s">
        <v>39</v>
      </c>
      <c r="B5" s="5">
        <v>8</v>
      </c>
    </row>
    <row r="6" spans="1:2" x14ac:dyDescent="0.3">
      <c r="A6" s="4" t="s">
        <v>8</v>
      </c>
      <c r="B6" s="5">
        <v>10</v>
      </c>
    </row>
    <row r="7" spans="1:2" x14ac:dyDescent="0.3">
      <c r="A7" s="4" t="s">
        <v>75</v>
      </c>
      <c r="B7" s="5">
        <v>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11E7D-2AFA-4F20-BCFC-DDE8CA7905B3}">
  <sheetPr codeName="Sheet10"/>
  <dimension ref="A1:B7"/>
  <sheetViews>
    <sheetView workbookViewId="0"/>
  </sheetViews>
  <sheetFormatPr defaultRowHeight="14.4" x14ac:dyDescent="0.3"/>
  <cols>
    <col min="1" max="1" width="12.44140625" bestFit="1" customWidth="1"/>
    <col min="2" max="2" width="16" bestFit="1" customWidth="1"/>
  </cols>
  <sheetData>
    <row r="1" spans="1:2" x14ac:dyDescent="0.3">
      <c r="A1" s="3" t="s">
        <v>3</v>
      </c>
      <c r="B1" t="s">
        <v>32</v>
      </c>
    </row>
    <row r="3" spans="1:2" x14ac:dyDescent="0.3">
      <c r="A3" s="3" t="s">
        <v>74</v>
      </c>
      <c r="B3" t="s">
        <v>76</v>
      </c>
    </row>
    <row r="4" spans="1:2" x14ac:dyDescent="0.3">
      <c r="A4" s="4" t="s">
        <v>14</v>
      </c>
      <c r="B4" s="5">
        <v>3</v>
      </c>
    </row>
    <row r="5" spans="1:2" x14ac:dyDescent="0.3">
      <c r="A5" s="4" t="s">
        <v>31</v>
      </c>
      <c r="B5" s="5">
        <v>10</v>
      </c>
    </row>
    <row r="6" spans="1:2" x14ac:dyDescent="0.3">
      <c r="A6" s="4" t="s">
        <v>8</v>
      </c>
      <c r="B6" s="5">
        <v>14</v>
      </c>
    </row>
    <row r="7" spans="1:2" x14ac:dyDescent="0.3">
      <c r="A7" s="4" t="s">
        <v>75</v>
      </c>
      <c r="B7" s="5">
        <v>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95BD6-5BBA-4A7A-AC22-2C3344A840B0}">
  <sheetPr codeName="Sheet11"/>
  <dimension ref="A1:B6"/>
  <sheetViews>
    <sheetView workbookViewId="0"/>
  </sheetViews>
  <sheetFormatPr defaultRowHeight="14.4" x14ac:dyDescent="0.3"/>
  <cols>
    <col min="1" max="1" width="12.44140625" bestFit="1" customWidth="1"/>
    <col min="2" max="2" width="16" bestFit="1" customWidth="1"/>
  </cols>
  <sheetData>
    <row r="1" spans="1:2" x14ac:dyDescent="0.3">
      <c r="A1" s="3" t="s">
        <v>3</v>
      </c>
      <c r="B1" t="s">
        <v>35</v>
      </c>
    </row>
    <row r="3" spans="1:2" x14ac:dyDescent="0.3">
      <c r="A3" s="3" t="s">
        <v>74</v>
      </c>
      <c r="B3" t="s">
        <v>76</v>
      </c>
    </row>
    <row r="4" spans="1:2" x14ac:dyDescent="0.3">
      <c r="A4" s="4" t="s">
        <v>11</v>
      </c>
      <c r="B4" s="5">
        <v>1</v>
      </c>
    </row>
    <row r="5" spans="1:2" x14ac:dyDescent="0.3">
      <c r="A5" s="4" t="s">
        <v>16</v>
      </c>
      <c r="B5" s="5">
        <v>4</v>
      </c>
    </row>
    <row r="6" spans="1:2" x14ac:dyDescent="0.3">
      <c r="A6" s="4" t="s">
        <v>75</v>
      </c>
      <c r="B6" s="5">
        <v>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518EC-787D-4116-96B3-D6F53DCB4624}">
  <sheetPr codeName="Sheet12"/>
  <dimension ref="A1:B8"/>
  <sheetViews>
    <sheetView workbookViewId="0"/>
  </sheetViews>
  <sheetFormatPr defaultRowHeight="14.4" x14ac:dyDescent="0.3"/>
  <cols>
    <col min="1" max="1" width="12.44140625" bestFit="1" customWidth="1"/>
    <col min="2" max="2" width="16" bestFit="1" customWidth="1"/>
  </cols>
  <sheetData>
    <row r="1" spans="1:2" x14ac:dyDescent="0.3">
      <c r="A1" s="3" t="s">
        <v>3</v>
      </c>
      <c r="B1" t="s">
        <v>9</v>
      </c>
    </row>
    <row r="3" spans="1:2" x14ac:dyDescent="0.3">
      <c r="A3" s="3" t="s">
        <v>74</v>
      </c>
      <c r="B3" t="s">
        <v>76</v>
      </c>
    </row>
    <row r="4" spans="1:2" x14ac:dyDescent="0.3">
      <c r="A4" s="4" t="s">
        <v>14</v>
      </c>
      <c r="B4" s="5">
        <v>5</v>
      </c>
    </row>
    <row r="5" spans="1:2" x14ac:dyDescent="0.3">
      <c r="A5" s="4" t="s">
        <v>23</v>
      </c>
      <c r="B5" s="5">
        <v>19</v>
      </c>
    </row>
    <row r="6" spans="1:2" x14ac:dyDescent="0.3">
      <c r="A6" s="4" t="s">
        <v>16</v>
      </c>
      <c r="B6" s="5">
        <v>5</v>
      </c>
    </row>
    <row r="7" spans="1:2" x14ac:dyDescent="0.3">
      <c r="A7" s="4" t="s">
        <v>8</v>
      </c>
      <c r="B7" s="5">
        <v>9</v>
      </c>
    </row>
    <row r="8" spans="1:2" x14ac:dyDescent="0.3">
      <c r="A8" s="4" t="s">
        <v>75</v>
      </c>
      <c r="B8" s="5">
        <v>38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556A9-ACB0-4539-AC5B-C6DF1E9FF4A8}">
  <sheetPr codeName="Sheet13"/>
  <dimension ref="A1:B7"/>
  <sheetViews>
    <sheetView workbookViewId="0"/>
  </sheetViews>
  <sheetFormatPr defaultRowHeight="14.4" x14ac:dyDescent="0.3"/>
  <cols>
    <col min="1" max="1" width="12.44140625" bestFit="1" customWidth="1"/>
    <col min="2" max="2" width="16" bestFit="1" customWidth="1"/>
  </cols>
  <sheetData>
    <row r="1" spans="1:2" x14ac:dyDescent="0.3">
      <c r="A1" s="3" t="s">
        <v>3</v>
      </c>
      <c r="B1" t="s">
        <v>73</v>
      </c>
    </row>
    <row r="3" spans="1:2" x14ac:dyDescent="0.3">
      <c r="A3" s="3" t="s">
        <v>74</v>
      </c>
      <c r="B3" t="s">
        <v>76</v>
      </c>
    </row>
    <row r="4" spans="1:2" x14ac:dyDescent="0.3">
      <c r="A4" s="4" t="s">
        <v>16</v>
      </c>
      <c r="B4" s="5">
        <v>9</v>
      </c>
    </row>
    <row r="5" spans="1:2" x14ac:dyDescent="0.3">
      <c r="A5" s="4" t="s">
        <v>31</v>
      </c>
      <c r="B5" s="5">
        <v>9</v>
      </c>
    </row>
    <row r="6" spans="1:2" x14ac:dyDescent="0.3">
      <c r="A6" s="4" t="s">
        <v>8</v>
      </c>
      <c r="B6" s="5">
        <v>10</v>
      </c>
    </row>
    <row r="7" spans="1:2" x14ac:dyDescent="0.3">
      <c r="A7" s="4" t="s">
        <v>75</v>
      </c>
      <c r="B7" s="5">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25A69-D685-479C-A374-485A4E16D55C}">
  <sheetPr codeName="Sheet14"/>
  <dimension ref="A1:C4"/>
  <sheetViews>
    <sheetView workbookViewId="0">
      <selection activeCell="A3" sqref="A3:C4"/>
    </sheetView>
  </sheetViews>
  <sheetFormatPr defaultRowHeight="14.4" x14ac:dyDescent="0.3"/>
  <cols>
    <col min="1" max="1" width="9" bestFit="1" customWidth="1"/>
    <col min="2" max="2" width="15.109375" bestFit="1" customWidth="1"/>
    <col min="3" max="3" width="9.77734375" bestFit="1" customWidth="1"/>
  </cols>
  <sheetData>
    <row r="1" spans="1:3" x14ac:dyDescent="0.3">
      <c r="A1" s="7" t="s">
        <v>130</v>
      </c>
    </row>
    <row r="3" spans="1:3" x14ac:dyDescent="0.3">
      <c r="A3" t="s">
        <v>108</v>
      </c>
      <c r="B3" t="s">
        <v>109</v>
      </c>
      <c r="C3" t="s">
        <v>110</v>
      </c>
    </row>
    <row r="4" spans="1:3" x14ac:dyDescent="0.3">
      <c r="A4" t="s">
        <v>114</v>
      </c>
      <c r="B4" t="s">
        <v>118</v>
      </c>
      <c r="C4">
        <v>6565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94EF1-9A72-49DF-A716-294D89216677}">
  <sheetPr codeName="Sheet15"/>
  <dimension ref="A1:R36"/>
  <sheetViews>
    <sheetView topLeftCell="Y1" workbookViewId="0">
      <selection activeCell="R5" sqref="R5"/>
    </sheetView>
  </sheetViews>
  <sheetFormatPr defaultRowHeight="14.4" x14ac:dyDescent="0.3"/>
  <cols>
    <col min="2" max="2" width="14.77734375" customWidth="1"/>
    <col min="3" max="3" width="9.44140625" customWidth="1"/>
    <col min="6" max="6" width="12.44140625" bestFit="1" customWidth="1"/>
    <col min="7" max="7" width="13.6640625" bestFit="1" customWidth="1"/>
    <col min="17" max="17" width="12.44140625" bestFit="1" customWidth="1"/>
    <col min="18" max="18" width="14.77734375" bestFit="1" customWidth="1"/>
  </cols>
  <sheetData>
    <row r="1" spans="1:18" x14ac:dyDescent="0.3">
      <c r="A1" t="s">
        <v>108</v>
      </c>
      <c r="B1" t="s">
        <v>109</v>
      </c>
      <c r="C1" t="s">
        <v>110</v>
      </c>
    </row>
    <row r="2" spans="1:18" x14ac:dyDescent="0.3">
      <c r="A2" t="s">
        <v>113</v>
      </c>
      <c r="B2" t="s">
        <v>111</v>
      </c>
      <c r="C2">
        <v>2838</v>
      </c>
      <c r="F2" s="3" t="s">
        <v>74</v>
      </c>
      <c r="G2" t="s">
        <v>117</v>
      </c>
    </row>
    <row r="3" spans="1:18" x14ac:dyDescent="0.3">
      <c r="A3" t="s">
        <v>114</v>
      </c>
      <c r="B3" t="s">
        <v>112</v>
      </c>
      <c r="C3">
        <v>3035</v>
      </c>
      <c r="F3" s="4" t="s">
        <v>111</v>
      </c>
      <c r="G3" s="5">
        <v>14570</v>
      </c>
      <c r="I3" t="e" cm="1" vm="1">
        <f t="array" aca="1" ref="I3" ca="1">DYNAMICCC</f>
        <v>#VALUE!</v>
      </c>
    </row>
    <row r="4" spans="1:18" x14ac:dyDescent="0.3">
      <c r="A4" t="s">
        <v>113</v>
      </c>
      <c r="B4" t="s">
        <v>112</v>
      </c>
      <c r="C4">
        <v>3048</v>
      </c>
      <c r="F4" s="4" t="s">
        <v>112</v>
      </c>
      <c r="G4" s="5">
        <v>15741</v>
      </c>
    </row>
    <row r="5" spans="1:18" x14ac:dyDescent="0.3">
      <c r="A5" t="s">
        <v>114</v>
      </c>
      <c r="B5" t="s">
        <v>111</v>
      </c>
      <c r="C5">
        <v>2750</v>
      </c>
      <c r="F5" s="4" t="s">
        <v>75</v>
      </c>
      <c r="G5" s="5">
        <v>30311</v>
      </c>
      <c r="Q5" s="3" t="s">
        <v>74</v>
      </c>
      <c r="R5" t="s">
        <v>123</v>
      </c>
    </row>
    <row r="6" spans="1:18" x14ac:dyDescent="0.3">
      <c r="A6" t="s">
        <v>115</v>
      </c>
      <c r="B6" t="s">
        <v>112</v>
      </c>
      <c r="C6">
        <v>3305</v>
      </c>
      <c r="L6" t="str">
        <f>Slicer_Customer_Name</f>
        <v/>
      </c>
      <c r="M6" t="e" cm="1" vm="1">
        <f t="array" aca="1" ref="M6" ca="1">OFFSET($A$1,0,0,COUNTA($A:$A),COUNTA($1:$1))</f>
        <v>#VALUE!</v>
      </c>
      <c r="Q6" s="4" t="s">
        <v>111</v>
      </c>
      <c r="R6" s="5">
        <v>5</v>
      </c>
    </row>
    <row r="7" spans="1:18" x14ac:dyDescent="0.3">
      <c r="A7" t="s">
        <v>116</v>
      </c>
      <c r="B7" t="s">
        <v>111</v>
      </c>
      <c r="C7">
        <v>3116</v>
      </c>
      <c r="J7" t="e" cm="1" vm="1">
        <f t="array" aca="1" ref="J7" ca="1">DYNAMICCC</f>
        <v>#VALUE!</v>
      </c>
      <c r="Q7" s="4" t="s">
        <v>119</v>
      </c>
      <c r="R7" s="5">
        <v>1</v>
      </c>
    </row>
    <row r="8" spans="1:18" x14ac:dyDescent="0.3">
      <c r="A8" t="s">
        <v>113</v>
      </c>
      <c r="B8" t="s">
        <v>112</v>
      </c>
      <c r="C8">
        <v>3048</v>
      </c>
      <c r="Q8" s="4" t="s">
        <v>118</v>
      </c>
      <c r="R8" s="5">
        <v>1</v>
      </c>
    </row>
    <row r="9" spans="1:18" x14ac:dyDescent="0.3">
      <c r="A9" t="s">
        <v>114</v>
      </c>
      <c r="B9" t="s">
        <v>111</v>
      </c>
      <c r="C9">
        <v>2750</v>
      </c>
      <c r="G9">
        <f>7*9</f>
        <v>63</v>
      </c>
      <c r="Q9" s="4" t="s">
        <v>121</v>
      </c>
      <c r="R9" s="5">
        <v>1</v>
      </c>
    </row>
    <row r="10" spans="1:18" x14ac:dyDescent="0.3">
      <c r="A10" t="s">
        <v>115</v>
      </c>
      <c r="B10" t="s">
        <v>112</v>
      </c>
      <c r="C10">
        <v>3305</v>
      </c>
      <c r="K10" t="e" cm="1" vm="1">
        <f t="array" aca="1" ref="K10" ca="1">DYNAMICCC</f>
        <v>#VALUE!</v>
      </c>
      <c r="Q10" s="4" t="s">
        <v>112</v>
      </c>
      <c r="R10" s="5">
        <v>5</v>
      </c>
    </row>
    <row r="11" spans="1:18" x14ac:dyDescent="0.3">
      <c r="A11" t="s">
        <v>116</v>
      </c>
      <c r="B11" t="s">
        <v>111</v>
      </c>
      <c r="C11">
        <v>3116</v>
      </c>
      <c r="Q11" s="4" t="s">
        <v>125</v>
      </c>
      <c r="R11" s="5">
        <v>1</v>
      </c>
    </row>
    <row r="12" spans="1:18" x14ac:dyDescent="0.3">
      <c r="A12" t="s">
        <v>114</v>
      </c>
      <c r="B12" t="s">
        <v>118</v>
      </c>
      <c r="C12">
        <v>6565</v>
      </c>
      <c r="Q12" s="4" t="s">
        <v>128</v>
      </c>
      <c r="R12" s="5">
        <v>1</v>
      </c>
    </row>
    <row r="13" spans="1:18" x14ac:dyDescent="0.3">
      <c r="A13" t="s">
        <v>116</v>
      </c>
      <c r="B13" t="s">
        <v>119</v>
      </c>
      <c r="C13">
        <v>0</v>
      </c>
      <c r="Q13" s="4" t="s">
        <v>75</v>
      </c>
      <c r="R13" s="5">
        <v>15</v>
      </c>
    </row>
    <row r="14" spans="1:18" x14ac:dyDescent="0.3">
      <c r="A14" t="s">
        <v>120</v>
      </c>
      <c r="B14" t="s">
        <v>121</v>
      </c>
      <c r="C14" t="s">
        <v>122</v>
      </c>
    </row>
    <row r="15" spans="1:18" x14ac:dyDescent="0.3">
      <c r="A15" t="s">
        <v>124</v>
      </c>
      <c r="B15" t="s">
        <v>125</v>
      </c>
      <c r="C15" t="s">
        <v>126</v>
      </c>
    </row>
    <row r="16" spans="1:18" x14ac:dyDescent="0.3">
      <c r="A16" t="s">
        <v>127</v>
      </c>
      <c r="B16" t="s">
        <v>128</v>
      </c>
      <c r="C16" t="s">
        <v>129</v>
      </c>
    </row>
    <row r="18" spans="5:16" x14ac:dyDescent="0.3">
      <c r="E18" t="s">
        <v>108</v>
      </c>
      <c r="F18" t="s">
        <v>109</v>
      </c>
      <c r="G18" t="s">
        <v>110</v>
      </c>
    </row>
    <row r="19" spans="5:16" x14ac:dyDescent="0.3">
      <c r="E19" t="s">
        <v>113</v>
      </c>
      <c r="F19" t="s">
        <v>111</v>
      </c>
      <c r="G19">
        <v>2838</v>
      </c>
    </row>
    <row r="20" spans="5:16" x14ac:dyDescent="0.3">
      <c r="E20" t="s">
        <v>114</v>
      </c>
      <c r="F20" t="s">
        <v>112</v>
      </c>
      <c r="G20">
        <v>3035</v>
      </c>
      <c r="I20">
        <f ca="1">OFFSET(Sheet19!$A$1,COUNTA(Sheet19!$A:$A),COUNTA(Sheet19!$1:$1))</f>
        <v>0</v>
      </c>
      <c r="K20" t="e" cm="1" vm="1">
        <f t="array" aca="1" ref="K20" ca="1">DYNAMICCC</f>
        <v>#VALUE!</v>
      </c>
    </row>
    <row r="21" spans="5:16" x14ac:dyDescent="0.3">
      <c r="E21" t="s">
        <v>113</v>
      </c>
      <c r="F21" t="s">
        <v>112</v>
      </c>
      <c r="G21">
        <v>3048</v>
      </c>
      <c r="K21">
        <f>C2+I8</f>
        <v>2838</v>
      </c>
      <c r="N21" t="str" cm="1">
        <f t="array" aca="1" ref="N21:P36" ca="1">OFFSET($A$1,0,0,COUNTA($A:$A),COUNTA($1:$1))</f>
        <v>Zone</v>
      </c>
      <c r="O21" t="str">
        <f ca="1"/>
        <v>customer type</v>
      </c>
      <c r="P21" t="str">
        <f ca="1"/>
        <v>revenue</v>
      </c>
    </row>
    <row r="22" spans="5:16" x14ac:dyDescent="0.3">
      <c r="E22" t="s">
        <v>114</v>
      </c>
      <c r="F22" t="s">
        <v>111</v>
      </c>
      <c r="G22">
        <v>2750</v>
      </c>
      <c r="N22" t="str">
        <f ca="1"/>
        <v>south</v>
      </c>
      <c r="O22" t="str">
        <f ca="1"/>
        <v>cash</v>
      </c>
      <c r="P22">
        <f ca="1"/>
        <v>2838</v>
      </c>
    </row>
    <row r="23" spans="5:16" x14ac:dyDescent="0.3">
      <c r="E23" t="s">
        <v>115</v>
      </c>
      <c r="F23" t="s">
        <v>112</v>
      </c>
      <c r="G23">
        <v>3305</v>
      </c>
      <c r="N23" t="str">
        <f ca="1"/>
        <v>east</v>
      </c>
      <c r="O23" t="str">
        <f ca="1"/>
        <v>online</v>
      </c>
      <c r="P23">
        <f ca="1"/>
        <v>3035</v>
      </c>
    </row>
    <row r="24" spans="5:16" x14ac:dyDescent="0.3">
      <c r="E24" t="s">
        <v>116</v>
      </c>
      <c r="F24" t="s">
        <v>111</v>
      </c>
      <c r="G24">
        <v>3116</v>
      </c>
      <c r="N24" t="str">
        <f ca="1"/>
        <v>south</v>
      </c>
      <c r="O24" t="str">
        <f ca="1"/>
        <v>online</v>
      </c>
      <c r="P24">
        <f ca="1"/>
        <v>3048</v>
      </c>
    </row>
    <row r="25" spans="5:16" x14ac:dyDescent="0.3">
      <c r="E25" t="s">
        <v>113</v>
      </c>
      <c r="F25" t="s">
        <v>112</v>
      </c>
      <c r="G25">
        <v>3048</v>
      </c>
      <c r="N25" t="str">
        <f ca="1"/>
        <v>east</v>
      </c>
      <c r="O25" t="str">
        <f ca="1"/>
        <v>cash</v>
      </c>
      <c r="P25">
        <f ca="1"/>
        <v>2750</v>
      </c>
    </row>
    <row r="26" spans="5:16" x14ac:dyDescent="0.3">
      <c r="E26" t="s">
        <v>114</v>
      </c>
      <c r="F26" t="s">
        <v>111</v>
      </c>
      <c r="G26">
        <v>2750</v>
      </c>
      <c r="N26" t="str">
        <f ca="1"/>
        <v>north</v>
      </c>
      <c r="O26" t="str">
        <f ca="1"/>
        <v>online</v>
      </c>
      <c r="P26">
        <f ca="1"/>
        <v>3305</v>
      </c>
    </row>
    <row r="27" spans="5:16" x14ac:dyDescent="0.3">
      <c r="E27" t="s">
        <v>115</v>
      </c>
      <c r="F27" t="s">
        <v>112</v>
      </c>
      <c r="G27">
        <v>3305</v>
      </c>
      <c r="N27" t="str">
        <f ca="1"/>
        <v>west</v>
      </c>
      <c r="O27" t="str">
        <f ca="1"/>
        <v>cash</v>
      </c>
      <c r="P27">
        <f ca="1"/>
        <v>3116</v>
      </c>
    </row>
    <row r="28" spans="5:16" x14ac:dyDescent="0.3">
      <c r="E28" t="s">
        <v>116</v>
      </c>
      <c r="F28" t="s">
        <v>111</v>
      </c>
      <c r="G28">
        <v>3116</v>
      </c>
      <c r="N28" t="str">
        <f ca="1"/>
        <v>south</v>
      </c>
      <c r="O28" t="str">
        <f ca="1"/>
        <v>online</v>
      </c>
      <c r="P28">
        <f ca="1"/>
        <v>3048</v>
      </c>
    </row>
    <row r="29" spans="5:16" x14ac:dyDescent="0.3">
      <c r="E29" t="s">
        <v>114</v>
      </c>
      <c r="F29" t="s">
        <v>118</v>
      </c>
      <c r="G29">
        <v>6565</v>
      </c>
      <c r="N29" t="str">
        <f ca="1"/>
        <v>east</v>
      </c>
      <c r="O29" t="str">
        <f ca="1"/>
        <v>cash</v>
      </c>
      <c r="P29">
        <f ca="1"/>
        <v>2750</v>
      </c>
    </row>
    <row r="30" spans="5:16" x14ac:dyDescent="0.3">
      <c r="E30" t="s">
        <v>116</v>
      </c>
      <c r="F30" t="s">
        <v>119</v>
      </c>
      <c r="G30">
        <v>0</v>
      </c>
      <c r="N30" t="str">
        <f ca="1"/>
        <v>north</v>
      </c>
      <c r="O30" t="str">
        <f ca="1"/>
        <v>online</v>
      </c>
      <c r="P30">
        <f ca="1"/>
        <v>3305</v>
      </c>
    </row>
    <row r="31" spans="5:16" x14ac:dyDescent="0.3">
      <c r="N31" t="str">
        <f ca="1"/>
        <v>west</v>
      </c>
      <c r="O31" t="str">
        <f ca="1"/>
        <v>cash</v>
      </c>
      <c r="P31">
        <f ca="1"/>
        <v>3116</v>
      </c>
    </row>
    <row r="32" spans="5:16" x14ac:dyDescent="0.3">
      <c r="N32" t="str">
        <f ca="1"/>
        <v>east</v>
      </c>
      <c r="O32" t="str">
        <f ca="1"/>
        <v>credit</v>
      </c>
      <c r="P32">
        <f ca="1"/>
        <v>6565</v>
      </c>
    </row>
    <row r="33" spans="14:16" x14ac:dyDescent="0.3">
      <c r="N33" t="str">
        <f ca="1"/>
        <v>west</v>
      </c>
      <c r="O33" t="str">
        <f ca="1"/>
        <v>ccc</v>
      </c>
      <c r="P33">
        <f ca="1"/>
        <v>0</v>
      </c>
    </row>
    <row r="34" spans="14:16" x14ac:dyDescent="0.3">
      <c r="N34" t="str">
        <f ca="1"/>
        <v>CVCV</v>
      </c>
      <c r="O34" t="str">
        <f ca="1"/>
        <v>FFGG</v>
      </c>
      <c r="P34" t="str">
        <f ca="1"/>
        <v>GFGFFG</v>
      </c>
    </row>
    <row r="35" spans="14:16" x14ac:dyDescent="0.3">
      <c r="N35" t="str">
        <f ca="1"/>
        <v>HHHHH</v>
      </c>
      <c r="O35" t="str">
        <f ca="1"/>
        <v>HHH</v>
      </c>
      <c r="P35" t="str">
        <f ca="1"/>
        <v>HJHJ</v>
      </c>
    </row>
    <row r="36" spans="14:16" x14ac:dyDescent="0.3">
      <c r="N36" t="str">
        <f ca="1"/>
        <v>HGHHG</v>
      </c>
      <c r="O36" t="str">
        <f ca="1"/>
        <v>HGG</v>
      </c>
      <c r="P36" t="str">
        <f ca="1"/>
        <v>HGHG</v>
      </c>
    </row>
  </sheetData>
  <pageMargins left="0.7" right="0.7" top="0.75" bottom="0.75" header="0.3" footer="0.3"/>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F077-99CD-4E7A-B08B-9F5B8FDF37EA}">
  <sheetPr codeName="Sheet16"/>
  <dimension ref="A1:B7"/>
  <sheetViews>
    <sheetView tabSelected="1" workbookViewId="0">
      <selection activeCell="B6" sqref="B6"/>
    </sheetView>
  </sheetViews>
  <sheetFormatPr defaultRowHeight="14.4" x14ac:dyDescent="0.3"/>
  <cols>
    <col min="1" max="1" width="12.44140625" bestFit="1" customWidth="1"/>
    <col min="2" max="3" width="16" bestFit="1" customWidth="1"/>
  </cols>
  <sheetData>
    <row r="1" spans="1:2" x14ac:dyDescent="0.3">
      <c r="A1" s="3" t="s">
        <v>3</v>
      </c>
      <c r="B1" t="s">
        <v>91</v>
      </c>
    </row>
    <row r="3" spans="1:2" x14ac:dyDescent="0.3">
      <c r="A3" s="3" t="s">
        <v>74</v>
      </c>
      <c r="B3" t="s">
        <v>76</v>
      </c>
    </row>
    <row r="4" spans="1:2" x14ac:dyDescent="0.3">
      <c r="A4" s="4" t="s">
        <v>23</v>
      </c>
      <c r="B4" s="5">
        <v>35</v>
      </c>
    </row>
    <row r="5" spans="1:2" x14ac:dyDescent="0.3">
      <c r="A5" s="4" t="s">
        <v>31</v>
      </c>
      <c r="B5" s="5">
        <v>35</v>
      </c>
    </row>
    <row r="6" spans="1:2" x14ac:dyDescent="0.3">
      <c r="A6" s="4" t="s">
        <v>8</v>
      </c>
      <c r="B6" s="5">
        <v>52</v>
      </c>
    </row>
    <row r="7" spans="1:2" x14ac:dyDescent="0.3">
      <c r="A7" s="4" t="s">
        <v>75</v>
      </c>
      <c r="B7" s="5">
        <v>122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824CE-1D40-4D7F-85FF-45A0A9B99D2F}">
  <sheetPr codeName="Sheet17"/>
  <dimension ref="A1:L52"/>
  <sheetViews>
    <sheetView topLeftCell="A13" zoomScale="130" zoomScaleNormal="130" workbookViewId="0">
      <selection activeCell="I22" sqref="I22"/>
    </sheetView>
  </sheetViews>
  <sheetFormatPr defaultRowHeight="14.4" x14ac:dyDescent="0.3"/>
  <cols>
    <col min="1" max="1" width="14.44140625" customWidth="1"/>
    <col min="2" max="2" width="10.33203125" style="2" bestFit="1" customWidth="1"/>
    <col min="3" max="3" width="16.109375" customWidth="1"/>
    <col min="4" max="4" width="11.33203125" bestFit="1" customWidth="1"/>
    <col min="5" max="5" width="10.88671875" customWidth="1"/>
    <col min="6" max="6" width="14.21875" customWidth="1"/>
    <col min="7" max="7" width="11.6640625" customWidth="1"/>
    <col min="9" max="9" width="9.77734375" customWidth="1"/>
    <col min="10" max="10" width="12.44140625" bestFit="1" customWidth="1"/>
    <col min="11" max="11" width="16.88671875" bestFit="1" customWidth="1"/>
    <col min="12" max="12" width="15" bestFit="1" customWidth="1"/>
  </cols>
  <sheetData>
    <row r="1" spans="1:12" x14ac:dyDescent="0.3">
      <c r="A1" s="1" t="s">
        <v>0</v>
      </c>
      <c r="B1" s="6" t="s">
        <v>1</v>
      </c>
      <c r="C1" s="1" t="s">
        <v>2</v>
      </c>
      <c r="D1" s="1" t="s">
        <v>3</v>
      </c>
      <c r="E1" s="1" t="s">
        <v>4</v>
      </c>
      <c r="F1" s="1" t="s">
        <v>5</v>
      </c>
      <c r="G1" s="1" t="s">
        <v>6</v>
      </c>
    </row>
    <row r="2" spans="1:12" x14ac:dyDescent="0.3">
      <c r="A2" t="s">
        <v>7</v>
      </c>
      <c r="B2" s="2">
        <v>45442</v>
      </c>
      <c r="C2" t="s">
        <v>8</v>
      </c>
      <c r="D2" t="s">
        <v>9</v>
      </c>
      <c r="E2">
        <v>3</v>
      </c>
      <c r="F2">
        <v>1764</v>
      </c>
      <c r="G2">
        <f>E2*F2</f>
        <v>5292</v>
      </c>
      <c r="J2" s="3" t="s">
        <v>74</v>
      </c>
      <c r="K2" t="s">
        <v>77</v>
      </c>
      <c r="L2" t="s">
        <v>95</v>
      </c>
    </row>
    <row r="3" spans="1:12" x14ac:dyDescent="0.3">
      <c r="A3" t="s">
        <v>10</v>
      </c>
      <c r="B3" s="2">
        <v>45296</v>
      </c>
      <c r="C3" t="s">
        <v>11</v>
      </c>
      <c r="D3" t="s">
        <v>12</v>
      </c>
      <c r="E3">
        <v>2</v>
      </c>
      <c r="F3">
        <v>3963</v>
      </c>
      <c r="G3">
        <f t="shared" ref="G3:G51" si="0">E3*F3</f>
        <v>7926</v>
      </c>
      <c r="J3" s="4" t="s">
        <v>14</v>
      </c>
      <c r="K3" s="5">
        <v>624719</v>
      </c>
      <c r="L3" s="5">
        <v>12494.380000000001</v>
      </c>
    </row>
    <row r="4" spans="1:12" x14ac:dyDescent="0.3">
      <c r="A4" t="s">
        <v>13</v>
      </c>
      <c r="B4" s="2">
        <v>45584</v>
      </c>
      <c r="C4" t="s">
        <v>14</v>
      </c>
      <c r="D4" t="s">
        <v>73</v>
      </c>
      <c r="E4">
        <v>2</v>
      </c>
      <c r="F4">
        <v>5389</v>
      </c>
      <c r="G4">
        <f t="shared" si="0"/>
        <v>10778</v>
      </c>
      <c r="J4" s="4" t="s">
        <v>23</v>
      </c>
      <c r="K4" s="5">
        <v>921130</v>
      </c>
      <c r="L4" s="5">
        <v>18422.600000000002</v>
      </c>
    </row>
    <row r="5" spans="1:12" x14ac:dyDescent="0.3">
      <c r="A5" t="s">
        <v>15</v>
      </c>
      <c r="B5" s="2">
        <v>45420</v>
      </c>
      <c r="C5" s="16" t="s">
        <v>16</v>
      </c>
      <c r="D5" t="s">
        <v>9</v>
      </c>
      <c r="E5">
        <v>3</v>
      </c>
      <c r="F5">
        <v>4486</v>
      </c>
      <c r="G5">
        <f t="shared" si="0"/>
        <v>13458</v>
      </c>
      <c r="J5" s="4" t="s">
        <v>11</v>
      </c>
      <c r="K5" s="5">
        <v>179347</v>
      </c>
      <c r="L5" s="5">
        <v>3586.94</v>
      </c>
    </row>
    <row r="6" spans="1:12" x14ac:dyDescent="0.3">
      <c r="A6" t="s">
        <v>17</v>
      </c>
      <c r="B6" s="2">
        <v>45525</v>
      </c>
      <c r="C6" t="s">
        <v>18</v>
      </c>
      <c r="D6" t="s">
        <v>9</v>
      </c>
      <c r="E6">
        <v>1</v>
      </c>
      <c r="F6" s="16">
        <v>15787</v>
      </c>
      <c r="G6">
        <f t="shared" si="0"/>
        <v>15787</v>
      </c>
      <c r="J6" s="4" t="s">
        <v>18</v>
      </c>
      <c r="K6" s="5">
        <v>755581</v>
      </c>
      <c r="L6" s="5">
        <v>15111.62</v>
      </c>
    </row>
    <row r="7" spans="1:12" x14ac:dyDescent="0.3">
      <c r="A7" t="s">
        <v>19</v>
      </c>
      <c r="B7" s="2">
        <v>45309</v>
      </c>
      <c r="C7" t="s">
        <v>11</v>
      </c>
      <c r="D7" t="s">
        <v>20</v>
      </c>
      <c r="E7">
        <v>1</v>
      </c>
      <c r="F7">
        <v>20040</v>
      </c>
      <c r="G7">
        <f t="shared" si="0"/>
        <v>20040</v>
      </c>
      <c r="J7" s="4" t="s">
        <v>39</v>
      </c>
      <c r="K7" s="5">
        <v>245626</v>
      </c>
      <c r="L7" s="5">
        <v>4912.5200000000004</v>
      </c>
    </row>
    <row r="8" spans="1:12" x14ac:dyDescent="0.3">
      <c r="A8" t="s">
        <v>21</v>
      </c>
      <c r="B8" s="2">
        <v>45479</v>
      </c>
      <c r="C8" t="s">
        <v>14</v>
      </c>
      <c r="D8" t="s">
        <v>73</v>
      </c>
      <c r="E8">
        <v>1</v>
      </c>
      <c r="F8">
        <v>22955</v>
      </c>
      <c r="G8">
        <f t="shared" si="0"/>
        <v>22955</v>
      </c>
      <c r="J8" s="4" t="s">
        <v>16</v>
      </c>
      <c r="K8" s="5">
        <v>669157</v>
      </c>
      <c r="L8" s="5">
        <v>13383.14</v>
      </c>
    </row>
    <row r="9" spans="1:12" x14ac:dyDescent="0.3">
      <c r="A9" t="s">
        <v>22</v>
      </c>
      <c r="B9" s="2">
        <v>45499</v>
      </c>
      <c r="C9" t="s">
        <v>23</v>
      </c>
      <c r="D9" t="s">
        <v>12</v>
      </c>
      <c r="E9">
        <v>1</v>
      </c>
      <c r="F9">
        <v>31617</v>
      </c>
      <c r="G9">
        <f t="shared" si="0"/>
        <v>31617</v>
      </c>
      <c r="J9" s="4" t="s">
        <v>31</v>
      </c>
      <c r="K9" s="5">
        <v>608860</v>
      </c>
      <c r="L9" s="5">
        <v>12177.2</v>
      </c>
    </row>
    <row r="10" spans="1:12" x14ac:dyDescent="0.3">
      <c r="A10" t="s">
        <v>24</v>
      </c>
      <c r="B10" s="2">
        <v>45314</v>
      </c>
      <c r="C10" t="s">
        <v>8</v>
      </c>
      <c r="D10" t="s">
        <v>25</v>
      </c>
      <c r="E10">
        <v>2</v>
      </c>
      <c r="F10">
        <v>18344</v>
      </c>
      <c r="G10">
        <f t="shared" si="0"/>
        <v>36688</v>
      </c>
      <c r="J10" s="4" t="s">
        <v>8</v>
      </c>
      <c r="K10" s="5">
        <v>1308967</v>
      </c>
      <c r="L10" s="5">
        <v>26179.34</v>
      </c>
    </row>
    <row r="11" spans="1:12" x14ac:dyDescent="0.3">
      <c r="A11" t="s">
        <v>26</v>
      </c>
      <c r="B11" s="2">
        <v>45392</v>
      </c>
      <c r="C11" t="s">
        <v>18</v>
      </c>
      <c r="D11" t="s">
        <v>20</v>
      </c>
      <c r="E11">
        <v>1</v>
      </c>
      <c r="F11">
        <v>38182</v>
      </c>
      <c r="G11">
        <f t="shared" si="0"/>
        <v>38182</v>
      </c>
      <c r="J11" s="4" t="s">
        <v>37</v>
      </c>
      <c r="K11" s="5">
        <v>133249</v>
      </c>
      <c r="L11" s="5">
        <v>2664.98</v>
      </c>
    </row>
    <row r="12" spans="1:12" x14ac:dyDescent="0.3">
      <c r="A12" t="s">
        <v>27</v>
      </c>
      <c r="B12" s="2">
        <v>45375</v>
      </c>
      <c r="C12" t="s">
        <v>11</v>
      </c>
      <c r="D12" t="s">
        <v>28</v>
      </c>
      <c r="E12">
        <v>1</v>
      </c>
      <c r="F12">
        <v>39672</v>
      </c>
      <c r="G12">
        <f t="shared" si="0"/>
        <v>39672</v>
      </c>
      <c r="J12" s="4" t="s">
        <v>75</v>
      </c>
      <c r="K12" s="5">
        <v>5446636</v>
      </c>
      <c r="L12" s="5">
        <v>108932.72</v>
      </c>
    </row>
    <row r="13" spans="1:12" x14ac:dyDescent="0.3">
      <c r="A13" t="s">
        <v>29</v>
      </c>
      <c r="B13" s="2">
        <v>45301</v>
      </c>
      <c r="C13" t="s">
        <v>16</v>
      </c>
      <c r="D13" t="s">
        <v>9</v>
      </c>
      <c r="E13">
        <v>2</v>
      </c>
      <c r="F13">
        <v>20241</v>
      </c>
      <c r="G13">
        <f t="shared" si="0"/>
        <v>40482</v>
      </c>
    </row>
    <row r="14" spans="1:12" x14ac:dyDescent="0.3">
      <c r="A14" t="s">
        <v>30</v>
      </c>
      <c r="B14" s="2">
        <v>45306</v>
      </c>
      <c r="C14" t="s">
        <v>31</v>
      </c>
      <c r="D14" t="s">
        <v>32</v>
      </c>
      <c r="E14">
        <v>5</v>
      </c>
      <c r="F14">
        <v>8381</v>
      </c>
      <c r="G14">
        <f t="shared" si="0"/>
        <v>41905</v>
      </c>
    </row>
    <row r="15" spans="1:12" x14ac:dyDescent="0.3">
      <c r="A15" t="s">
        <v>33</v>
      </c>
      <c r="B15" s="2">
        <v>45331</v>
      </c>
      <c r="C15" t="s">
        <v>31</v>
      </c>
      <c r="D15" t="s">
        <v>32</v>
      </c>
      <c r="E15">
        <v>5</v>
      </c>
      <c r="F15">
        <v>9236</v>
      </c>
      <c r="G15">
        <f t="shared" si="0"/>
        <v>46180</v>
      </c>
    </row>
    <row r="16" spans="1:12" x14ac:dyDescent="0.3">
      <c r="A16" t="s">
        <v>34</v>
      </c>
      <c r="B16" s="2">
        <v>45554</v>
      </c>
      <c r="C16" t="s">
        <v>11</v>
      </c>
      <c r="D16" t="s">
        <v>35</v>
      </c>
      <c r="E16">
        <v>1</v>
      </c>
      <c r="F16">
        <v>48777</v>
      </c>
      <c r="G16">
        <f t="shared" si="0"/>
        <v>48777</v>
      </c>
    </row>
    <row r="17" spans="1:7" x14ac:dyDescent="0.3">
      <c r="A17" t="s">
        <v>36</v>
      </c>
      <c r="B17" s="2">
        <v>45362</v>
      </c>
      <c r="C17" t="s">
        <v>37</v>
      </c>
      <c r="D17" t="s">
        <v>9</v>
      </c>
      <c r="E17">
        <v>1</v>
      </c>
      <c r="F17">
        <v>49773</v>
      </c>
      <c r="G17">
        <f t="shared" si="0"/>
        <v>49773</v>
      </c>
    </row>
    <row r="18" spans="1:7" x14ac:dyDescent="0.3">
      <c r="A18" t="s">
        <v>38</v>
      </c>
      <c r="B18" s="2">
        <v>45506</v>
      </c>
      <c r="C18" t="s">
        <v>39</v>
      </c>
      <c r="D18" t="s">
        <v>12</v>
      </c>
      <c r="E18">
        <v>2</v>
      </c>
      <c r="F18">
        <v>25187</v>
      </c>
      <c r="G18">
        <f t="shared" si="0"/>
        <v>50374</v>
      </c>
    </row>
    <row r="19" spans="1:7" x14ac:dyDescent="0.3">
      <c r="A19" t="s">
        <v>40</v>
      </c>
      <c r="B19" s="2">
        <v>45318</v>
      </c>
      <c r="C19" t="s">
        <v>8</v>
      </c>
      <c r="D19" t="s">
        <v>9</v>
      </c>
      <c r="E19">
        <v>6</v>
      </c>
      <c r="F19">
        <v>8543</v>
      </c>
      <c r="G19">
        <f t="shared" si="0"/>
        <v>51258</v>
      </c>
    </row>
    <row r="20" spans="1:7" x14ac:dyDescent="0.3">
      <c r="A20" t="s">
        <v>41</v>
      </c>
      <c r="B20" s="2">
        <v>45529</v>
      </c>
      <c r="C20" t="s">
        <v>31</v>
      </c>
      <c r="D20" t="s">
        <v>73</v>
      </c>
      <c r="E20">
        <v>6</v>
      </c>
      <c r="F20">
        <v>10333</v>
      </c>
      <c r="G20">
        <f t="shared" si="0"/>
        <v>61998</v>
      </c>
    </row>
    <row r="21" spans="1:7" x14ac:dyDescent="0.3">
      <c r="A21" t="s">
        <v>42</v>
      </c>
      <c r="B21" s="2">
        <v>45495</v>
      </c>
      <c r="C21" t="s">
        <v>14</v>
      </c>
      <c r="D21" t="s">
        <v>32</v>
      </c>
      <c r="E21">
        <v>3</v>
      </c>
      <c r="F21">
        <v>20756</v>
      </c>
      <c r="G21">
        <f t="shared" si="0"/>
        <v>62268</v>
      </c>
    </row>
    <row r="22" spans="1:7" x14ac:dyDescent="0.3">
      <c r="A22" t="s">
        <v>43</v>
      </c>
      <c r="B22" s="2">
        <v>45574</v>
      </c>
      <c r="C22" t="s">
        <v>11</v>
      </c>
      <c r="D22" t="s">
        <v>28</v>
      </c>
      <c r="E22">
        <v>4</v>
      </c>
      <c r="F22">
        <v>15733</v>
      </c>
      <c r="G22">
        <f t="shared" si="0"/>
        <v>62932</v>
      </c>
    </row>
    <row r="23" spans="1:7" x14ac:dyDescent="0.3">
      <c r="A23" t="s">
        <v>44</v>
      </c>
      <c r="B23" s="2">
        <v>45483</v>
      </c>
      <c r="C23" t="s">
        <v>8</v>
      </c>
      <c r="D23" t="s">
        <v>32</v>
      </c>
      <c r="E23">
        <v>3</v>
      </c>
      <c r="F23">
        <v>21025</v>
      </c>
      <c r="G23">
        <f t="shared" si="0"/>
        <v>63075</v>
      </c>
    </row>
    <row r="24" spans="1:7" x14ac:dyDescent="0.3">
      <c r="A24" t="s">
        <v>45</v>
      </c>
      <c r="B24" s="2">
        <v>45343</v>
      </c>
      <c r="C24" t="s">
        <v>31</v>
      </c>
      <c r="D24" t="s">
        <v>73</v>
      </c>
      <c r="E24">
        <v>3</v>
      </c>
      <c r="F24">
        <v>26115</v>
      </c>
      <c r="G24">
        <f t="shared" si="0"/>
        <v>78345</v>
      </c>
    </row>
    <row r="25" spans="1:7" x14ac:dyDescent="0.3">
      <c r="A25" t="s">
        <v>46</v>
      </c>
      <c r="B25" s="2">
        <v>45550</v>
      </c>
      <c r="C25" t="s">
        <v>39</v>
      </c>
      <c r="D25" t="s">
        <v>12</v>
      </c>
      <c r="E25">
        <v>2</v>
      </c>
      <c r="F25">
        <v>39386</v>
      </c>
      <c r="G25">
        <f t="shared" si="0"/>
        <v>78772</v>
      </c>
    </row>
    <row r="26" spans="1:7" x14ac:dyDescent="0.3">
      <c r="A26" t="s">
        <v>47</v>
      </c>
      <c r="B26" s="2">
        <v>45569</v>
      </c>
      <c r="C26" t="s">
        <v>18</v>
      </c>
      <c r="D26" t="s">
        <v>25</v>
      </c>
      <c r="E26">
        <v>2</v>
      </c>
      <c r="F26">
        <v>39966</v>
      </c>
      <c r="G26">
        <f t="shared" si="0"/>
        <v>79932</v>
      </c>
    </row>
    <row r="27" spans="1:7" x14ac:dyDescent="0.3">
      <c r="A27" t="s">
        <v>48</v>
      </c>
      <c r="B27" s="2">
        <v>45323</v>
      </c>
      <c r="C27" t="s">
        <v>14</v>
      </c>
      <c r="D27" t="s">
        <v>12</v>
      </c>
      <c r="E27">
        <v>4</v>
      </c>
      <c r="F27">
        <v>20393</v>
      </c>
      <c r="G27">
        <f t="shared" si="0"/>
        <v>81572</v>
      </c>
    </row>
    <row r="28" spans="1:7" x14ac:dyDescent="0.3">
      <c r="A28" t="s">
        <v>49</v>
      </c>
      <c r="B28" s="2">
        <v>45322</v>
      </c>
      <c r="C28" t="s">
        <v>8</v>
      </c>
      <c r="D28" t="s">
        <v>12</v>
      </c>
      <c r="E28">
        <v>10</v>
      </c>
      <c r="F28">
        <v>8242</v>
      </c>
      <c r="G28">
        <f t="shared" si="0"/>
        <v>82420</v>
      </c>
    </row>
    <row r="29" spans="1:7" x14ac:dyDescent="0.3">
      <c r="A29" t="s">
        <v>50</v>
      </c>
      <c r="B29" s="2">
        <v>45333</v>
      </c>
      <c r="C29" t="s">
        <v>18</v>
      </c>
      <c r="D29" t="s">
        <v>73</v>
      </c>
      <c r="E29">
        <v>2</v>
      </c>
      <c r="F29">
        <v>41545</v>
      </c>
      <c r="G29">
        <f t="shared" si="0"/>
        <v>83090</v>
      </c>
    </row>
    <row r="30" spans="1:7" x14ac:dyDescent="0.3">
      <c r="A30" t="s">
        <v>51</v>
      </c>
      <c r="B30" s="2">
        <v>45392</v>
      </c>
      <c r="C30" t="s">
        <v>37</v>
      </c>
      <c r="D30" t="s">
        <v>12</v>
      </c>
      <c r="E30">
        <v>4</v>
      </c>
      <c r="F30">
        <v>20869</v>
      </c>
      <c r="G30">
        <f t="shared" si="0"/>
        <v>83476</v>
      </c>
    </row>
    <row r="31" spans="1:7" x14ac:dyDescent="0.3">
      <c r="A31" t="s">
        <v>52</v>
      </c>
      <c r="B31" s="2">
        <v>45495</v>
      </c>
      <c r="C31" t="s">
        <v>23</v>
      </c>
      <c r="D31" t="s">
        <v>9</v>
      </c>
      <c r="E31">
        <v>10</v>
      </c>
      <c r="F31">
        <v>9575</v>
      </c>
      <c r="G31">
        <f t="shared" si="0"/>
        <v>95750</v>
      </c>
    </row>
    <row r="32" spans="1:7" x14ac:dyDescent="0.3">
      <c r="A32" t="s">
        <v>53</v>
      </c>
      <c r="B32" s="2">
        <v>45299</v>
      </c>
      <c r="C32" t="s">
        <v>23</v>
      </c>
      <c r="D32" t="s">
        <v>73</v>
      </c>
      <c r="E32">
        <v>3</v>
      </c>
      <c r="F32">
        <v>34052</v>
      </c>
      <c r="G32">
        <f t="shared" si="0"/>
        <v>102156</v>
      </c>
    </row>
    <row r="33" spans="1:7" x14ac:dyDescent="0.3">
      <c r="A33" t="s">
        <v>54</v>
      </c>
      <c r="B33" s="2">
        <v>45403</v>
      </c>
      <c r="C33" t="s">
        <v>23</v>
      </c>
      <c r="D33" t="s">
        <v>73</v>
      </c>
      <c r="E33">
        <v>5</v>
      </c>
      <c r="F33">
        <v>20679</v>
      </c>
      <c r="G33">
        <f t="shared" si="0"/>
        <v>103395</v>
      </c>
    </row>
    <row r="34" spans="1:7" x14ac:dyDescent="0.3">
      <c r="A34" t="s">
        <v>55</v>
      </c>
      <c r="B34" s="2">
        <v>45435</v>
      </c>
      <c r="C34" t="s">
        <v>31</v>
      </c>
      <c r="D34" t="s">
        <v>25</v>
      </c>
      <c r="E34">
        <v>8</v>
      </c>
      <c r="F34">
        <v>13385</v>
      </c>
      <c r="G34">
        <f t="shared" si="0"/>
        <v>107080</v>
      </c>
    </row>
    <row r="35" spans="1:7" x14ac:dyDescent="0.3">
      <c r="A35" t="s">
        <v>56</v>
      </c>
      <c r="B35" s="2">
        <v>45320</v>
      </c>
      <c r="C35" t="s">
        <v>16</v>
      </c>
      <c r="D35" t="s">
        <v>35</v>
      </c>
      <c r="E35">
        <v>4</v>
      </c>
      <c r="F35">
        <v>28810</v>
      </c>
      <c r="G35">
        <f t="shared" si="0"/>
        <v>115240</v>
      </c>
    </row>
    <row r="36" spans="1:7" x14ac:dyDescent="0.3">
      <c r="A36" t="s">
        <v>57</v>
      </c>
      <c r="B36" s="2">
        <v>45382</v>
      </c>
      <c r="C36" t="s">
        <v>39</v>
      </c>
      <c r="D36" t="s">
        <v>12</v>
      </c>
      <c r="E36">
        <v>4</v>
      </c>
      <c r="F36">
        <v>29120</v>
      </c>
      <c r="G36">
        <f t="shared" si="0"/>
        <v>116480</v>
      </c>
    </row>
    <row r="37" spans="1:7" x14ac:dyDescent="0.3">
      <c r="A37" t="s">
        <v>58</v>
      </c>
      <c r="B37" s="2">
        <v>45310</v>
      </c>
      <c r="C37" t="s">
        <v>14</v>
      </c>
      <c r="D37" t="s">
        <v>9</v>
      </c>
      <c r="E37">
        <v>5</v>
      </c>
      <c r="F37">
        <v>24148</v>
      </c>
      <c r="G37">
        <f t="shared" si="0"/>
        <v>120740</v>
      </c>
    </row>
    <row r="38" spans="1:7" x14ac:dyDescent="0.3">
      <c r="A38" t="s">
        <v>59</v>
      </c>
      <c r="B38" s="2">
        <v>45473</v>
      </c>
      <c r="C38" t="s">
        <v>14</v>
      </c>
      <c r="D38" t="s">
        <v>20</v>
      </c>
      <c r="E38">
        <v>6</v>
      </c>
      <c r="F38">
        <v>20576</v>
      </c>
      <c r="G38">
        <f t="shared" si="0"/>
        <v>123456</v>
      </c>
    </row>
    <row r="39" spans="1:7" x14ac:dyDescent="0.3">
      <c r="A39" t="s">
        <v>60</v>
      </c>
      <c r="B39" s="2">
        <v>45432</v>
      </c>
      <c r="C39" t="s">
        <v>16</v>
      </c>
      <c r="D39" t="s">
        <v>73</v>
      </c>
      <c r="E39">
        <v>6</v>
      </c>
      <c r="F39">
        <v>22895</v>
      </c>
      <c r="G39">
        <f t="shared" si="0"/>
        <v>137370</v>
      </c>
    </row>
    <row r="40" spans="1:7" x14ac:dyDescent="0.3">
      <c r="A40" t="s">
        <v>61</v>
      </c>
      <c r="B40" s="2">
        <v>45574</v>
      </c>
      <c r="C40" t="s">
        <v>16</v>
      </c>
      <c r="D40" t="s">
        <v>73</v>
      </c>
      <c r="E40">
        <v>3</v>
      </c>
      <c r="F40">
        <v>48084</v>
      </c>
      <c r="G40">
        <f t="shared" si="0"/>
        <v>144252</v>
      </c>
    </row>
    <row r="41" spans="1:7" x14ac:dyDescent="0.3">
      <c r="A41" t="s">
        <v>62</v>
      </c>
      <c r="B41" s="2">
        <v>45475</v>
      </c>
      <c r="C41" t="s">
        <v>8</v>
      </c>
      <c r="D41" t="s">
        <v>32</v>
      </c>
      <c r="E41">
        <v>5</v>
      </c>
      <c r="F41">
        <v>33106</v>
      </c>
      <c r="G41">
        <f t="shared" si="0"/>
        <v>165530</v>
      </c>
    </row>
    <row r="42" spans="1:7" x14ac:dyDescent="0.3">
      <c r="A42" t="s">
        <v>63</v>
      </c>
      <c r="B42" s="2">
        <v>45407</v>
      </c>
      <c r="C42" t="s">
        <v>8</v>
      </c>
      <c r="D42" t="s">
        <v>32</v>
      </c>
      <c r="E42">
        <v>6</v>
      </c>
      <c r="F42">
        <v>31522</v>
      </c>
      <c r="G42">
        <f t="shared" si="0"/>
        <v>189132</v>
      </c>
    </row>
    <row r="43" spans="1:7" x14ac:dyDescent="0.3">
      <c r="A43" t="s">
        <v>64</v>
      </c>
      <c r="B43" s="2">
        <v>45370</v>
      </c>
      <c r="C43" t="s">
        <v>23</v>
      </c>
      <c r="D43" t="s">
        <v>12</v>
      </c>
      <c r="E43">
        <v>7</v>
      </c>
      <c r="F43">
        <v>27356</v>
      </c>
      <c r="G43">
        <f t="shared" si="0"/>
        <v>191492</v>
      </c>
    </row>
    <row r="44" spans="1:7" x14ac:dyDescent="0.3">
      <c r="A44" t="s">
        <v>65</v>
      </c>
      <c r="B44" s="2">
        <v>45357</v>
      </c>
      <c r="C44" t="s">
        <v>14</v>
      </c>
      <c r="D44" t="s">
        <v>20</v>
      </c>
      <c r="E44">
        <v>5</v>
      </c>
      <c r="F44">
        <v>40590</v>
      </c>
      <c r="G44">
        <f t="shared" si="0"/>
        <v>202950</v>
      </c>
    </row>
    <row r="45" spans="1:7" x14ac:dyDescent="0.3">
      <c r="A45" t="s">
        <v>66</v>
      </c>
      <c r="B45" s="2">
        <v>45553</v>
      </c>
      <c r="C45" t="s">
        <v>18</v>
      </c>
      <c r="D45" t="s">
        <v>28</v>
      </c>
      <c r="E45">
        <v>7</v>
      </c>
      <c r="F45">
        <v>31140</v>
      </c>
      <c r="G45">
        <f t="shared" si="0"/>
        <v>217980</v>
      </c>
    </row>
    <row r="46" spans="1:7" x14ac:dyDescent="0.3">
      <c r="A46" t="s">
        <v>67</v>
      </c>
      <c r="B46" s="2">
        <v>45467</v>
      </c>
      <c r="C46" t="s">
        <v>16</v>
      </c>
      <c r="D46" t="s">
        <v>25</v>
      </c>
      <c r="E46">
        <v>5</v>
      </c>
      <c r="F46">
        <v>43671</v>
      </c>
      <c r="G46">
        <f t="shared" si="0"/>
        <v>218355</v>
      </c>
    </row>
    <row r="47" spans="1:7" x14ac:dyDescent="0.3">
      <c r="A47" t="s">
        <v>68</v>
      </c>
      <c r="B47" s="2">
        <v>45362</v>
      </c>
      <c r="C47" t="s">
        <v>8</v>
      </c>
      <c r="D47" t="s">
        <v>20</v>
      </c>
      <c r="E47">
        <v>7</v>
      </c>
      <c r="F47">
        <v>32236</v>
      </c>
      <c r="G47">
        <f t="shared" si="0"/>
        <v>225652</v>
      </c>
    </row>
    <row r="48" spans="1:7" x14ac:dyDescent="0.3">
      <c r="A48" t="s">
        <v>69</v>
      </c>
      <c r="B48" s="2">
        <v>45536</v>
      </c>
      <c r="C48" t="s">
        <v>31</v>
      </c>
      <c r="D48" t="s">
        <v>28</v>
      </c>
      <c r="E48">
        <v>8</v>
      </c>
      <c r="F48">
        <v>34169</v>
      </c>
      <c r="G48">
        <f t="shared" si="0"/>
        <v>273352</v>
      </c>
    </row>
    <row r="49" spans="1:7" x14ac:dyDescent="0.3">
      <c r="A49" t="s">
        <v>70</v>
      </c>
      <c r="B49" s="2">
        <v>45305</v>
      </c>
      <c r="C49" t="s">
        <v>18</v>
      </c>
      <c r="D49" t="s">
        <v>28</v>
      </c>
      <c r="E49">
        <v>10</v>
      </c>
      <c r="F49">
        <v>32061</v>
      </c>
      <c r="G49">
        <f t="shared" si="0"/>
        <v>320610</v>
      </c>
    </row>
    <row r="50" spans="1:7" x14ac:dyDescent="0.3">
      <c r="A50" t="s">
        <v>71</v>
      </c>
      <c r="B50" s="2">
        <v>45389</v>
      </c>
      <c r="C50" t="s">
        <v>23</v>
      </c>
      <c r="D50" t="s">
        <v>9</v>
      </c>
      <c r="E50">
        <v>9</v>
      </c>
      <c r="F50">
        <v>44080</v>
      </c>
      <c r="G50">
        <f t="shared" si="0"/>
        <v>396720</v>
      </c>
    </row>
    <row r="51" spans="1:7" x14ac:dyDescent="0.3">
      <c r="A51" t="s">
        <v>72</v>
      </c>
      <c r="B51" s="2">
        <v>45519</v>
      </c>
      <c r="C51" t="s">
        <v>8</v>
      </c>
      <c r="D51" t="s">
        <v>73</v>
      </c>
      <c r="E51">
        <v>10</v>
      </c>
      <c r="F51">
        <v>48992</v>
      </c>
      <c r="G51">
        <f t="shared" si="0"/>
        <v>489920</v>
      </c>
    </row>
    <row r="52" spans="1:7" x14ac:dyDescent="0.3">
      <c r="A52" t="s">
        <v>81</v>
      </c>
      <c r="B52"/>
      <c r="G52">
        <f>SUBTOTAL(109,Table4[Total_Sales])</f>
        <v>5446636</v>
      </c>
    </row>
  </sheetData>
  <pageMargins left="0.7" right="0.7" top="0.75" bottom="0.75" header="0.3" footer="0.3"/>
  <pageSetup paperSize="9" orientation="portrait" horizontalDpi="0" verticalDpi="0"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9A94E-77F4-4AF2-B6DE-669F0C764E3B}">
  <sheetPr codeName="Sheet18"/>
  <dimension ref="A1:G51"/>
  <sheetViews>
    <sheetView zoomScale="145" zoomScaleNormal="145" workbookViewId="0">
      <selection activeCell="J5" sqref="J5"/>
    </sheetView>
  </sheetViews>
  <sheetFormatPr defaultRowHeight="14.4" x14ac:dyDescent="0.3"/>
  <cols>
    <col min="2" max="2" width="10.6640625" style="2" bestFit="1" customWidth="1"/>
  </cols>
  <sheetData>
    <row r="1" spans="1:7" x14ac:dyDescent="0.3">
      <c r="A1" s="1" t="s">
        <v>0</v>
      </c>
      <c r="B1" s="6" t="s">
        <v>1</v>
      </c>
      <c r="C1" s="1" t="s">
        <v>2</v>
      </c>
      <c r="D1" s="1" t="s">
        <v>3</v>
      </c>
      <c r="E1" s="1" t="s">
        <v>4</v>
      </c>
      <c r="F1" s="1" t="s">
        <v>5</v>
      </c>
      <c r="G1" s="1" t="s">
        <v>6</v>
      </c>
    </row>
    <row r="2" spans="1:7" x14ac:dyDescent="0.3">
      <c r="A2" t="s">
        <v>7</v>
      </c>
      <c r="B2" s="2">
        <v>45442</v>
      </c>
      <c r="C2" t="s">
        <v>8</v>
      </c>
      <c r="D2" t="s">
        <v>9</v>
      </c>
      <c r="E2">
        <v>3</v>
      </c>
      <c r="F2">
        <v>1764</v>
      </c>
      <c r="G2">
        <f>E2*F2</f>
        <v>5292</v>
      </c>
    </row>
    <row r="3" spans="1:7" x14ac:dyDescent="0.3">
      <c r="A3" t="s">
        <v>10</v>
      </c>
      <c r="B3" s="2">
        <v>45296</v>
      </c>
      <c r="C3" t="s">
        <v>11</v>
      </c>
      <c r="D3" t="s">
        <v>12</v>
      </c>
      <c r="E3">
        <v>2</v>
      </c>
      <c r="F3">
        <v>3963</v>
      </c>
      <c r="G3">
        <f t="shared" ref="G3:G51" si="0">E3*F3</f>
        <v>7926</v>
      </c>
    </row>
    <row r="4" spans="1:7" x14ac:dyDescent="0.3">
      <c r="A4" t="s">
        <v>13</v>
      </c>
      <c r="B4" s="2">
        <v>45584</v>
      </c>
      <c r="C4" t="s">
        <v>14</v>
      </c>
      <c r="D4" t="s">
        <v>73</v>
      </c>
      <c r="E4">
        <v>2</v>
      </c>
      <c r="F4">
        <v>5389</v>
      </c>
      <c r="G4">
        <f t="shared" si="0"/>
        <v>10778</v>
      </c>
    </row>
    <row r="5" spans="1:7" x14ac:dyDescent="0.3">
      <c r="A5" t="s">
        <v>15</v>
      </c>
      <c r="B5" s="2">
        <v>45420</v>
      </c>
      <c r="C5" t="s">
        <v>16</v>
      </c>
      <c r="D5" t="s">
        <v>9</v>
      </c>
      <c r="E5">
        <v>3</v>
      </c>
      <c r="F5">
        <v>4486</v>
      </c>
      <c r="G5">
        <f t="shared" si="0"/>
        <v>13458</v>
      </c>
    </row>
    <row r="6" spans="1:7" x14ac:dyDescent="0.3">
      <c r="A6" t="s">
        <v>17</v>
      </c>
      <c r="B6" s="2">
        <v>45525</v>
      </c>
      <c r="C6" t="s">
        <v>18</v>
      </c>
      <c r="D6" t="s">
        <v>9</v>
      </c>
      <c r="E6">
        <v>1</v>
      </c>
      <c r="F6">
        <v>15787</v>
      </c>
      <c r="G6">
        <f t="shared" si="0"/>
        <v>15787</v>
      </c>
    </row>
    <row r="7" spans="1:7" x14ac:dyDescent="0.3">
      <c r="A7" t="s">
        <v>19</v>
      </c>
      <c r="B7" s="2">
        <v>45309</v>
      </c>
      <c r="C7" t="s">
        <v>11</v>
      </c>
      <c r="D7" t="s">
        <v>20</v>
      </c>
      <c r="E7">
        <v>1</v>
      </c>
      <c r="F7">
        <v>20040</v>
      </c>
      <c r="G7">
        <f t="shared" si="0"/>
        <v>20040</v>
      </c>
    </row>
    <row r="8" spans="1:7" x14ac:dyDescent="0.3">
      <c r="A8" t="s">
        <v>21</v>
      </c>
      <c r="B8" s="2">
        <v>45479</v>
      </c>
      <c r="C8" t="s">
        <v>14</v>
      </c>
      <c r="D8" t="s">
        <v>73</v>
      </c>
      <c r="E8">
        <v>1</v>
      </c>
      <c r="F8">
        <v>22955</v>
      </c>
      <c r="G8">
        <f t="shared" si="0"/>
        <v>22955</v>
      </c>
    </row>
    <row r="9" spans="1:7" x14ac:dyDescent="0.3">
      <c r="A9" t="s">
        <v>22</v>
      </c>
      <c r="B9" s="2">
        <v>45499</v>
      </c>
      <c r="C9" t="s">
        <v>23</v>
      </c>
      <c r="D9" t="s">
        <v>12</v>
      </c>
      <c r="E9">
        <v>1</v>
      </c>
      <c r="F9">
        <v>31617</v>
      </c>
      <c r="G9">
        <f t="shared" si="0"/>
        <v>31617</v>
      </c>
    </row>
    <row r="10" spans="1:7" x14ac:dyDescent="0.3">
      <c r="A10" t="s">
        <v>24</v>
      </c>
      <c r="B10" s="2">
        <v>45314</v>
      </c>
      <c r="C10" t="s">
        <v>8</v>
      </c>
      <c r="D10" t="s">
        <v>25</v>
      </c>
      <c r="E10">
        <v>2</v>
      </c>
      <c r="F10">
        <v>18344</v>
      </c>
      <c r="G10">
        <f t="shared" si="0"/>
        <v>36688</v>
      </c>
    </row>
    <row r="11" spans="1:7" x14ac:dyDescent="0.3">
      <c r="A11" t="s">
        <v>26</v>
      </c>
      <c r="B11" s="2">
        <v>45392</v>
      </c>
      <c r="C11" t="s">
        <v>18</v>
      </c>
      <c r="D11" t="s">
        <v>20</v>
      </c>
      <c r="E11">
        <v>1</v>
      </c>
      <c r="F11">
        <v>38182</v>
      </c>
      <c r="G11">
        <f t="shared" si="0"/>
        <v>38182</v>
      </c>
    </row>
    <row r="12" spans="1:7" x14ac:dyDescent="0.3">
      <c r="A12" t="s">
        <v>27</v>
      </c>
      <c r="B12" s="2">
        <v>45375</v>
      </c>
      <c r="C12" t="s">
        <v>11</v>
      </c>
      <c r="D12" t="s">
        <v>28</v>
      </c>
      <c r="E12">
        <v>1</v>
      </c>
      <c r="F12">
        <v>39672</v>
      </c>
      <c r="G12">
        <f t="shared" si="0"/>
        <v>39672</v>
      </c>
    </row>
    <row r="13" spans="1:7" x14ac:dyDescent="0.3">
      <c r="A13" t="s">
        <v>29</v>
      </c>
      <c r="B13" s="2">
        <v>45301</v>
      </c>
      <c r="C13" t="s">
        <v>16</v>
      </c>
      <c r="D13" t="s">
        <v>9</v>
      </c>
      <c r="E13">
        <v>2</v>
      </c>
      <c r="F13">
        <v>20241</v>
      </c>
      <c r="G13">
        <f t="shared" si="0"/>
        <v>40482</v>
      </c>
    </row>
    <row r="14" spans="1:7" x14ac:dyDescent="0.3">
      <c r="A14" t="s">
        <v>30</v>
      </c>
      <c r="B14" s="2">
        <v>45306</v>
      </c>
      <c r="C14" t="s">
        <v>31</v>
      </c>
      <c r="D14" t="s">
        <v>32</v>
      </c>
      <c r="E14">
        <v>5</v>
      </c>
      <c r="F14">
        <v>8381</v>
      </c>
      <c r="G14">
        <f t="shared" si="0"/>
        <v>41905</v>
      </c>
    </row>
    <row r="15" spans="1:7" x14ac:dyDescent="0.3">
      <c r="A15" t="s">
        <v>33</v>
      </c>
      <c r="B15" s="2">
        <v>45331</v>
      </c>
      <c r="C15" t="s">
        <v>31</v>
      </c>
      <c r="D15" t="s">
        <v>32</v>
      </c>
      <c r="E15">
        <v>5</v>
      </c>
      <c r="F15">
        <v>9236</v>
      </c>
      <c r="G15">
        <f t="shared" si="0"/>
        <v>46180</v>
      </c>
    </row>
    <row r="16" spans="1:7" x14ac:dyDescent="0.3">
      <c r="A16" t="s">
        <v>34</v>
      </c>
      <c r="B16" s="2">
        <v>45554</v>
      </c>
      <c r="C16" t="s">
        <v>11</v>
      </c>
      <c r="D16" t="s">
        <v>35</v>
      </c>
      <c r="E16">
        <v>1</v>
      </c>
      <c r="F16">
        <v>48777</v>
      </c>
      <c r="G16">
        <f t="shared" si="0"/>
        <v>48777</v>
      </c>
    </row>
    <row r="17" spans="1:7" x14ac:dyDescent="0.3">
      <c r="A17" t="s">
        <v>36</v>
      </c>
      <c r="B17" s="2">
        <v>45362</v>
      </c>
      <c r="C17" t="s">
        <v>37</v>
      </c>
      <c r="D17" t="s">
        <v>9</v>
      </c>
      <c r="E17">
        <v>1</v>
      </c>
      <c r="F17">
        <v>49773</v>
      </c>
      <c r="G17">
        <f t="shared" si="0"/>
        <v>49773</v>
      </c>
    </row>
    <row r="18" spans="1:7" x14ac:dyDescent="0.3">
      <c r="A18" t="s">
        <v>38</v>
      </c>
      <c r="B18" s="2">
        <v>45506</v>
      </c>
      <c r="C18" t="s">
        <v>39</v>
      </c>
      <c r="D18" t="s">
        <v>12</v>
      </c>
      <c r="E18">
        <v>2</v>
      </c>
      <c r="F18">
        <v>25187</v>
      </c>
      <c r="G18">
        <f t="shared" si="0"/>
        <v>50374</v>
      </c>
    </row>
    <row r="19" spans="1:7" x14ac:dyDescent="0.3">
      <c r="A19" t="s">
        <v>40</v>
      </c>
      <c r="B19" s="2">
        <v>45318</v>
      </c>
      <c r="C19" t="s">
        <v>8</v>
      </c>
      <c r="D19" t="s">
        <v>9</v>
      </c>
      <c r="E19">
        <v>6</v>
      </c>
      <c r="F19">
        <v>8543</v>
      </c>
      <c r="G19">
        <f t="shared" si="0"/>
        <v>51258</v>
      </c>
    </row>
    <row r="20" spans="1:7" x14ac:dyDescent="0.3">
      <c r="A20" t="s">
        <v>41</v>
      </c>
      <c r="B20" s="2">
        <v>45529</v>
      </c>
      <c r="C20" t="s">
        <v>31</v>
      </c>
      <c r="D20" t="s">
        <v>73</v>
      </c>
      <c r="E20">
        <v>6</v>
      </c>
      <c r="F20">
        <v>10333</v>
      </c>
      <c r="G20">
        <f t="shared" si="0"/>
        <v>61998</v>
      </c>
    </row>
    <row r="21" spans="1:7" x14ac:dyDescent="0.3">
      <c r="A21" t="s">
        <v>42</v>
      </c>
      <c r="B21" s="2">
        <v>45495</v>
      </c>
      <c r="C21" t="s">
        <v>14</v>
      </c>
      <c r="D21" t="s">
        <v>32</v>
      </c>
      <c r="E21">
        <v>3</v>
      </c>
      <c r="F21">
        <v>20756</v>
      </c>
      <c r="G21">
        <f t="shared" si="0"/>
        <v>62268</v>
      </c>
    </row>
    <row r="22" spans="1:7" x14ac:dyDescent="0.3">
      <c r="A22" t="s">
        <v>43</v>
      </c>
      <c r="B22" s="2">
        <v>45574</v>
      </c>
      <c r="C22" t="s">
        <v>11</v>
      </c>
      <c r="D22" t="s">
        <v>28</v>
      </c>
      <c r="E22">
        <v>4</v>
      </c>
      <c r="F22">
        <v>15733</v>
      </c>
      <c r="G22">
        <f t="shared" si="0"/>
        <v>62932</v>
      </c>
    </row>
    <row r="23" spans="1:7" x14ac:dyDescent="0.3">
      <c r="A23" t="s">
        <v>44</v>
      </c>
      <c r="B23" s="2">
        <v>45483</v>
      </c>
      <c r="C23" t="s">
        <v>8</v>
      </c>
      <c r="D23" t="s">
        <v>32</v>
      </c>
      <c r="E23">
        <v>3</v>
      </c>
      <c r="F23">
        <v>21025</v>
      </c>
      <c r="G23">
        <f t="shared" si="0"/>
        <v>63075</v>
      </c>
    </row>
    <row r="24" spans="1:7" x14ac:dyDescent="0.3">
      <c r="A24" t="s">
        <v>45</v>
      </c>
      <c r="B24" s="2">
        <v>45343</v>
      </c>
      <c r="C24" t="s">
        <v>31</v>
      </c>
      <c r="D24" t="s">
        <v>73</v>
      </c>
      <c r="E24">
        <v>3</v>
      </c>
      <c r="F24">
        <v>26115</v>
      </c>
      <c r="G24">
        <f t="shared" si="0"/>
        <v>78345</v>
      </c>
    </row>
    <row r="25" spans="1:7" x14ac:dyDescent="0.3">
      <c r="A25" t="s">
        <v>46</v>
      </c>
      <c r="B25" s="2">
        <v>45550</v>
      </c>
      <c r="C25" t="s">
        <v>39</v>
      </c>
      <c r="D25" t="s">
        <v>12</v>
      </c>
      <c r="E25">
        <v>2</v>
      </c>
      <c r="F25">
        <v>39386</v>
      </c>
      <c r="G25">
        <f t="shared" si="0"/>
        <v>78772</v>
      </c>
    </row>
    <row r="26" spans="1:7" x14ac:dyDescent="0.3">
      <c r="A26" t="s">
        <v>47</v>
      </c>
      <c r="B26" s="2">
        <v>45569</v>
      </c>
      <c r="C26" t="s">
        <v>18</v>
      </c>
      <c r="D26" t="s">
        <v>25</v>
      </c>
      <c r="E26">
        <v>2</v>
      </c>
      <c r="F26">
        <v>39966</v>
      </c>
      <c r="G26">
        <f t="shared" si="0"/>
        <v>79932</v>
      </c>
    </row>
    <row r="27" spans="1:7" x14ac:dyDescent="0.3">
      <c r="A27" t="s">
        <v>48</v>
      </c>
      <c r="B27" s="2">
        <v>45323</v>
      </c>
      <c r="C27" t="s">
        <v>14</v>
      </c>
      <c r="D27" t="s">
        <v>12</v>
      </c>
      <c r="E27">
        <v>4</v>
      </c>
      <c r="F27">
        <v>20393</v>
      </c>
      <c r="G27">
        <f t="shared" si="0"/>
        <v>81572</v>
      </c>
    </row>
    <row r="28" spans="1:7" x14ac:dyDescent="0.3">
      <c r="A28" t="s">
        <v>49</v>
      </c>
      <c r="B28" s="2">
        <v>45322</v>
      </c>
      <c r="C28" t="s">
        <v>8</v>
      </c>
      <c r="D28" t="s">
        <v>12</v>
      </c>
      <c r="E28">
        <v>10</v>
      </c>
      <c r="F28">
        <v>8242</v>
      </c>
      <c r="G28">
        <f t="shared" si="0"/>
        <v>82420</v>
      </c>
    </row>
    <row r="29" spans="1:7" x14ac:dyDescent="0.3">
      <c r="A29" t="s">
        <v>50</v>
      </c>
      <c r="B29" s="2">
        <v>45333</v>
      </c>
      <c r="C29" t="s">
        <v>18</v>
      </c>
      <c r="D29" t="s">
        <v>73</v>
      </c>
      <c r="E29">
        <v>2</v>
      </c>
      <c r="F29">
        <v>41545</v>
      </c>
      <c r="G29">
        <f t="shared" si="0"/>
        <v>83090</v>
      </c>
    </row>
    <row r="30" spans="1:7" x14ac:dyDescent="0.3">
      <c r="A30" t="s">
        <v>51</v>
      </c>
      <c r="B30" s="2">
        <v>45392</v>
      </c>
      <c r="C30" t="s">
        <v>37</v>
      </c>
      <c r="D30" t="s">
        <v>12</v>
      </c>
      <c r="E30">
        <v>4</v>
      </c>
      <c r="F30">
        <v>20869</v>
      </c>
      <c r="G30">
        <f t="shared" si="0"/>
        <v>83476</v>
      </c>
    </row>
    <row r="31" spans="1:7" x14ac:dyDescent="0.3">
      <c r="A31" t="s">
        <v>52</v>
      </c>
      <c r="B31" s="2">
        <v>45495</v>
      </c>
      <c r="C31" t="s">
        <v>23</v>
      </c>
      <c r="D31" t="s">
        <v>9</v>
      </c>
      <c r="E31">
        <v>10</v>
      </c>
      <c r="F31">
        <v>9575</v>
      </c>
      <c r="G31">
        <f t="shared" si="0"/>
        <v>95750</v>
      </c>
    </row>
    <row r="32" spans="1:7" x14ac:dyDescent="0.3">
      <c r="A32" t="s">
        <v>53</v>
      </c>
      <c r="B32" s="2">
        <v>45299</v>
      </c>
      <c r="C32" t="s">
        <v>23</v>
      </c>
      <c r="D32" t="s">
        <v>73</v>
      </c>
      <c r="E32">
        <v>3</v>
      </c>
      <c r="F32">
        <v>34052</v>
      </c>
      <c r="G32">
        <f t="shared" si="0"/>
        <v>102156</v>
      </c>
    </row>
    <row r="33" spans="1:7" x14ac:dyDescent="0.3">
      <c r="A33" t="s">
        <v>54</v>
      </c>
      <c r="B33" s="2">
        <v>45403</v>
      </c>
      <c r="C33" t="s">
        <v>23</v>
      </c>
      <c r="D33" t="s">
        <v>73</v>
      </c>
      <c r="E33">
        <v>5</v>
      </c>
      <c r="F33">
        <v>20679</v>
      </c>
      <c r="G33">
        <f t="shared" si="0"/>
        <v>103395</v>
      </c>
    </row>
    <row r="34" spans="1:7" x14ac:dyDescent="0.3">
      <c r="A34" t="s">
        <v>55</v>
      </c>
      <c r="B34" s="2">
        <v>45435</v>
      </c>
      <c r="C34" t="s">
        <v>31</v>
      </c>
      <c r="D34" t="s">
        <v>25</v>
      </c>
      <c r="E34">
        <v>8</v>
      </c>
      <c r="F34">
        <v>13385</v>
      </c>
      <c r="G34">
        <f t="shared" si="0"/>
        <v>107080</v>
      </c>
    </row>
    <row r="35" spans="1:7" x14ac:dyDescent="0.3">
      <c r="A35" t="s">
        <v>56</v>
      </c>
      <c r="B35" s="2">
        <v>45320</v>
      </c>
      <c r="C35" t="s">
        <v>16</v>
      </c>
      <c r="D35" t="s">
        <v>35</v>
      </c>
      <c r="E35">
        <v>4</v>
      </c>
      <c r="F35">
        <v>28810</v>
      </c>
      <c r="G35">
        <f t="shared" si="0"/>
        <v>115240</v>
      </c>
    </row>
    <row r="36" spans="1:7" x14ac:dyDescent="0.3">
      <c r="A36" t="s">
        <v>57</v>
      </c>
      <c r="B36" s="2">
        <v>45382</v>
      </c>
      <c r="C36" t="s">
        <v>39</v>
      </c>
      <c r="D36" t="s">
        <v>12</v>
      </c>
      <c r="E36">
        <v>4</v>
      </c>
      <c r="F36">
        <v>29120</v>
      </c>
      <c r="G36">
        <f t="shared" si="0"/>
        <v>116480</v>
      </c>
    </row>
    <row r="37" spans="1:7" x14ac:dyDescent="0.3">
      <c r="A37" t="s">
        <v>58</v>
      </c>
      <c r="B37" s="2">
        <v>45310</v>
      </c>
      <c r="C37" t="s">
        <v>14</v>
      </c>
      <c r="D37" t="s">
        <v>9</v>
      </c>
      <c r="E37">
        <v>5</v>
      </c>
      <c r="F37">
        <v>24148</v>
      </c>
      <c r="G37">
        <f t="shared" si="0"/>
        <v>120740</v>
      </c>
    </row>
    <row r="38" spans="1:7" x14ac:dyDescent="0.3">
      <c r="A38" t="s">
        <v>59</v>
      </c>
      <c r="B38" s="2">
        <v>45473</v>
      </c>
      <c r="C38" t="s">
        <v>14</v>
      </c>
      <c r="D38" t="s">
        <v>20</v>
      </c>
      <c r="E38">
        <v>6</v>
      </c>
      <c r="F38">
        <v>20576</v>
      </c>
      <c r="G38">
        <f t="shared" si="0"/>
        <v>123456</v>
      </c>
    </row>
    <row r="39" spans="1:7" x14ac:dyDescent="0.3">
      <c r="A39" t="s">
        <v>60</v>
      </c>
      <c r="B39" s="2">
        <v>45432</v>
      </c>
      <c r="C39" t="s">
        <v>16</v>
      </c>
      <c r="D39" t="s">
        <v>73</v>
      </c>
      <c r="E39">
        <v>6</v>
      </c>
      <c r="F39">
        <v>22895</v>
      </c>
      <c r="G39">
        <f t="shared" si="0"/>
        <v>137370</v>
      </c>
    </row>
    <row r="40" spans="1:7" x14ac:dyDescent="0.3">
      <c r="A40" t="s">
        <v>61</v>
      </c>
      <c r="B40" s="2">
        <v>45574</v>
      </c>
      <c r="C40" t="s">
        <v>16</v>
      </c>
      <c r="D40" t="s">
        <v>73</v>
      </c>
      <c r="E40">
        <v>3</v>
      </c>
      <c r="F40">
        <v>48084</v>
      </c>
      <c r="G40">
        <f t="shared" si="0"/>
        <v>144252</v>
      </c>
    </row>
    <row r="41" spans="1:7" x14ac:dyDescent="0.3">
      <c r="A41" t="s">
        <v>62</v>
      </c>
      <c r="B41" s="2">
        <v>45475</v>
      </c>
      <c r="C41" t="s">
        <v>8</v>
      </c>
      <c r="D41" t="s">
        <v>32</v>
      </c>
      <c r="E41">
        <v>5</v>
      </c>
      <c r="F41">
        <v>33106</v>
      </c>
      <c r="G41">
        <f t="shared" si="0"/>
        <v>165530</v>
      </c>
    </row>
    <row r="42" spans="1:7" x14ac:dyDescent="0.3">
      <c r="A42" t="s">
        <v>63</v>
      </c>
      <c r="B42" s="2">
        <v>45407</v>
      </c>
      <c r="C42" t="s">
        <v>8</v>
      </c>
      <c r="D42" t="s">
        <v>32</v>
      </c>
      <c r="E42">
        <v>6</v>
      </c>
      <c r="F42">
        <v>31522</v>
      </c>
      <c r="G42">
        <f t="shared" si="0"/>
        <v>189132</v>
      </c>
    </row>
    <row r="43" spans="1:7" x14ac:dyDescent="0.3">
      <c r="A43" t="s">
        <v>64</v>
      </c>
      <c r="B43" s="2">
        <v>45370</v>
      </c>
      <c r="C43" t="s">
        <v>23</v>
      </c>
      <c r="D43" t="s">
        <v>12</v>
      </c>
      <c r="E43">
        <v>7</v>
      </c>
      <c r="F43">
        <v>27356</v>
      </c>
      <c r="G43">
        <f t="shared" si="0"/>
        <v>191492</v>
      </c>
    </row>
    <row r="44" spans="1:7" x14ac:dyDescent="0.3">
      <c r="A44" t="s">
        <v>65</v>
      </c>
      <c r="B44" s="2">
        <v>45357</v>
      </c>
      <c r="C44" t="s">
        <v>14</v>
      </c>
      <c r="D44" t="s">
        <v>20</v>
      </c>
      <c r="E44">
        <v>5</v>
      </c>
      <c r="F44">
        <v>40590</v>
      </c>
      <c r="G44">
        <f t="shared" si="0"/>
        <v>202950</v>
      </c>
    </row>
    <row r="45" spans="1:7" x14ac:dyDescent="0.3">
      <c r="A45" t="s">
        <v>66</v>
      </c>
      <c r="B45" s="2">
        <v>45553</v>
      </c>
      <c r="C45" t="s">
        <v>18</v>
      </c>
      <c r="D45" t="s">
        <v>28</v>
      </c>
      <c r="E45">
        <v>7</v>
      </c>
      <c r="F45">
        <v>31140</v>
      </c>
      <c r="G45">
        <f t="shared" si="0"/>
        <v>217980</v>
      </c>
    </row>
    <row r="46" spans="1:7" x14ac:dyDescent="0.3">
      <c r="A46" t="s">
        <v>67</v>
      </c>
      <c r="B46" s="2">
        <v>45467</v>
      </c>
      <c r="C46" t="s">
        <v>16</v>
      </c>
      <c r="D46" t="s">
        <v>25</v>
      </c>
      <c r="E46">
        <v>5</v>
      </c>
      <c r="F46">
        <v>43671</v>
      </c>
      <c r="G46">
        <f t="shared" si="0"/>
        <v>218355</v>
      </c>
    </row>
    <row r="47" spans="1:7" x14ac:dyDescent="0.3">
      <c r="A47" t="s">
        <v>68</v>
      </c>
      <c r="B47" s="2">
        <v>45362</v>
      </c>
      <c r="C47" t="s">
        <v>8</v>
      </c>
      <c r="D47" t="s">
        <v>20</v>
      </c>
      <c r="E47">
        <v>7</v>
      </c>
      <c r="F47">
        <v>32236</v>
      </c>
      <c r="G47">
        <f t="shared" si="0"/>
        <v>225652</v>
      </c>
    </row>
    <row r="48" spans="1:7" x14ac:dyDescent="0.3">
      <c r="A48" t="s">
        <v>69</v>
      </c>
      <c r="B48" s="2">
        <v>45536</v>
      </c>
      <c r="C48" t="s">
        <v>31</v>
      </c>
      <c r="D48" t="s">
        <v>28</v>
      </c>
      <c r="E48">
        <v>8</v>
      </c>
      <c r="F48">
        <v>34169</v>
      </c>
      <c r="G48">
        <f t="shared" si="0"/>
        <v>273352</v>
      </c>
    </row>
    <row r="49" spans="1:7" x14ac:dyDescent="0.3">
      <c r="A49" t="s">
        <v>70</v>
      </c>
      <c r="B49" s="2">
        <v>45305</v>
      </c>
      <c r="C49" t="s">
        <v>18</v>
      </c>
      <c r="D49" t="s">
        <v>28</v>
      </c>
      <c r="E49">
        <v>10</v>
      </c>
      <c r="F49">
        <v>32061</v>
      </c>
      <c r="G49">
        <f t="shared" si="0"/>
        <v>320610</v>
      </c>
    </row>
    <row r="50" spans="1:7" x14ac:dyDescent="0.3">
      <c r="A50" t="s">
        <v>71</v>
      </c>
      <c r="B50" s="2">
        <v>45389</v>
      </c>
      <c r="C50" t="s">
        <v>23</v>
      </c>
      <c r="D50" t="s">
        <v>9</v>
      </c>
      <c r="E50">
        <v>9</v>
      </c>
      <c r="F50">
        <v>44080</v>
      </c>
      <c r="G50">
        <f t="shared" si="0"/>
        <v>396720</v>
      </c>
    </row>
    <row r="51" spans="1:7" x14ac:dyDescent="0.3">
      <c r="A51" t="s">
        <v>72</v>
      </c>
      <c r="B51" s="2">
        <v>45519</v>
      </c>
      <c r="C51" t="s">
        <v>8</v>
      </c>
      <c r="D51" t="s">
        <v>73</v>
      </c>
      <c r="E51">
        <v>10</v>
      </c>
      <c r="F51">
        <v>48992</v>
      </c>
      <c r="G51">
        <f t="shared" si="0"/>
        <v>489920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Sheet4</vt:lpstr>
      <vt:lpstr>slicer</vt:lpstr>
      <vt:lpstr>option and setting</vt:lpstr>
      <vt:lpstr>Sheet7</vt:lpstr>
      <vt:lpstr>problem</vt:lpstr>
      <vt:lpstr>Headphones</vt:lpstr>
      <vt:lpstr>Keyboard</vt:lpstr>
      <vt:lpstr>Laptop</vt:lpstr>
      <vt:lpstr>Monitor</vt:lpstr>
      <vt:lpstr>Mouse</vt:lpstr>
      <vt:lpstr>Printer</vt:lpstr>
      <vt:lpstr>Tablet</vt:lpstr>
      <vt:lpstr>Webcam</vt:lpstr>
      <vt:lpstr>Detail1</vt:lpstr>
      <vt:lpstr>Sheet19</vt:lpstr>
      <vt:lpstr>Sheet10</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Aman Singh Rathor</cp:lastModifiedBy>
  <dcterms:created xsi:type="dcterms:W3CDTF">2025-10-22T11:40:13Z</dcterms:created>
  <dcterms:modified xsi:type="dcterms:W3CDTF">2026-01-20T18:06:29Z</dcterms:modified>
</cp:coreProperties>
</file>